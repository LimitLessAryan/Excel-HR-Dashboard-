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aryan\Desktop\"/>
    </mc:Choice>
  </mc:AlternateContent>
  <xr:revisionPtr revIDLastSave="0" documentId="8_{033E4464-ECEE-43E7-BDB7-2DEDC22E5D23}" xr6:coauthVersionLast="47" xr6:coauthVersionMax="47" xr10:uidLastSave="{00000000-0000-0000-0000-000000000000}"/>
  <bookViews>
    <workbookView xWindow="-110" yWindow="-110" windowWidth="19420" windowHeight="10300" xr2:uid="{F5F3101E-C74F-47EB-890C-9254756D1BC5}"/>
  </bookViews>
  <sheets>
    <sheet name="Emp_Data" sheetId="24" r:id="rId1"/>
    <sheet name="Pivot_table" sheetId="25" r:id="rId2"/>
    <sheet name="Excel_Dashboard" sheetId="23" r:id="rId3"/>
  </sheets>
  <definedNames>
    <definedName name="_xlnm._FilterDatabase" localSheetId="0" hidden="1">Emp_Data!$A$1:$O$1002</definedName>
    <definedName name="Slicer_City">#N/A</definedName>
    <definedName name="Slicer_Count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04" i="24" l="1"/>
  <c r="D1002" i="24"/>
  <c r="K1002" i="24"/>
  <c r="A1002" i="24"/>
  <c r="I40" i="24"/>
  <c r="I41" i="24"/>
  <c r="I42" i="24"/>
  <c r="I43" i="24"/>
  <c r="I44" i="24"/>
  <c r="I45" i="24"/>
  <c r="I46" i="24"/>
  <c r="I47" i="24"/>
  <c r="I48" i="24"/>
  <c r="I49" i="24"/>
  <c r="I50" i="24"/>
  <c r="I51" i="24"/>
  <c r="I52" i="24"/>
  <c r="I53" i="24"/>
  <c r="I54" i="24"/>
  <c r="I55" i="24"/>
  <c r="I56" i="24"/>
  <c r="I57" i="24"/>
  <c r="I58" i="24"/>
  <c r="I59" i="24"/>
  <c r="I60" i="24"/>
  <c r="I61" i="24"/>
  <c r="I62" i="24"/>
  <c r="I63" i="24"/>
  <c r="I64" i="24"/>
  <c r="I65" i="24"/>
  <c r="I66" i="24"/>
  <c r="I67" i="24"/>
  <c r="I68" i="24"/>
  <c r="I69" i="24"/>
  <c r="I70" i="24"/>
  <c r="I71" i="24"/>
  <c r="I72" i="24"/>
  <c r="I73" i="24"/>
  <c r="I74" i="24"/>
  <c r="I75" i="24"/>
  <c r="I76" i="24"/>
  <c r="I77" i="24"/>
  <c r="I78" i="24"/>
  <c r="I79" i="24"/>
  <c r="I80" i="24"/>
  <c r="I81" i="24"/>
  <c r="I82" i="24"/>
  <c r="I83" i="24"/>
  <c r="I84" i="24"/>
  <c r="I85" i="24"/>
  <c r="I86" i="24"/>
  <c r="I87" i="24"/>
  <c r="I88" i="24"/>
  <c r="I89" i="24"/>
  <c r="I90" i="24"/>
  <c r="I91" i="24"/>
  <c r="I92" i="24"/>
  <c r="I93" i="24"/>
  <c r="I94" i="24"/>
  <c r="I95" i="24"/>
  <c r="I96" i="24"/>
  <c r="I97" i="24"/>
  <c r="I98" i="24"/>
  <c r="I99" i="24"/>
  <c r="I100" i="24"/>
  <c r="I101" i="24"/>
  <c r="I102" i="24"/>
  <c r="I103" i="24"/>
  <c r="I104" i="24"/>
  <c r="I105" i="24"/>
  <c r="I106" i="24"/>
  <c r="I107" i="24"/>
  <c r="I108" i="24"/>
  <c r="I109" i="24"/>
  <c r="I110" i="24"/>
  <c r="I111" i="24"/>
  <c r="I112" i="24"/>
  <c r="I113" i="24"/>
  <c r="I114" i="24"/>
  <c r="I115" i="24"/>
  <c r="I116" i="24"/>
  <c r="I117" i="24"/>
  <c r="I118" i="24"/>
  <c r="I119" i="24"/>
  <c r="I120" i="24"/>
  <c r="I121" i="24"/>
  <c r="I122" i="24"/>
  <c r="I123" i="24"/>
  <c r="I124" i="24"/>
  <c r="I125" i="24"/>
  <c r="I126" i="24"/>
  <c r="I127" i="24"/>
  <c r="I128" i="24"/>
  <c r="I129" i="24"/>
  <c r="I130" i="24"/>
  <c r="I131" i="24"/>
  <c r="I132" i="24"/>
  <c r="I133" i="24"/>
  <c r="I134" i="24"/>
  <c r="I135" i="24"/>
  <c r="I136" i="24"/>
  <c r="I137" i="24"/>
  <c r="I138" i="24"/>
  <c r="I139" i="24"/>
  <c r="I140" i="24"/>
  <c r="I141" i="24"/>
  <c r="I142" i="24"/>
  <c r="I143" i="24"/>
  <c r="I144" i="24"/>
  <c r="I145" i="24"/>
  <c r="I146" i="24"/>
  <c r="I147" i="24"/>
  <c r="I148" i="24"/>
  <c r="I149" i="24"/>
  <c r="I150" i="24"/>
  <c r="I151" i="24"/>
  <c r="I152" i="24"/>
  <c r="I153" i="24"/>
  <c r="I154" i="24"/>
  <c r="I155" i="24"/>
  <c r="I156" i="24"/>
  <c r="I157" i="24"/>
  <c r="I158" i="24"/>
  <c r="I159" i="24"/>
  <c r="I160" i="24"/>
  <c r="I161" i="24"/>
  <c r="I162" i="24"/>
  <c r="I163" i="24"/>
  <c r="I164" i="24"/>
  <c r="I165" i="24"/>
  <c r="I166" i="24"/>
  <c r="I167" i="24"/>
  <c r="I168" i="24"/>
  <c r="I169" i="24"/>
  <c r="I170" i="24"/>
  <c r="I171" i="24"/>
  <c r="I172" i="24"/>
  <c r="I173" i="24"/>
  <c r="I174" i="24"/>
  <c r="I175" i="24"/>
  <c r="I176" i="24"/>
  <c r="I177" i="24"/>
  <c r="I178" i="24"/>
  <c r="I179" i="24"/>
  <c r="I180" i="24"/>
  <c r="I181" i="24"/>
  <c r="I182" i="24"/>
  <c r="I183" i="24"/>
  <c r="I184" i="24"/>
  <c r="I185" i="24"/>
  <c r="I186" i="24"/>
  <c r="I187" i="24"/>
  <c r="I188" i="24"/>
  <c r="I189" i="24"/>
  <c r="I190" i="24"/>
  <c r="I191" i="24"/>
  <c r="I192" i="24"/>
  <c r="I193" i="24"/>
  <c r="I194" i="24"/>
  <c r="I195" i="24"/>
  <c r="I196" i="24"/>
  <c r="I197" i="24"/>
  <c r="I198" i="24"/>
  <c r="I199" i="24"/>
  <c r="I200" i="24"/>
  <c r="I201" i="24"/>
  <c r="I202" i="24"/>
  <c r="I203" i="24"/>
  <c r="I204" i="24"/>
  <c r="I205" i="24"/>
  <c r="I206" i="24"/>
  <c r="I207" i="24"/>
  <c r="I208" i="24"/>
  <c r="I209" i="24"/>
  <c r="I210" i="24"/>
  <c r="I211" i="24"/>
  <c r="I212" i="24"/>
  <c r="I213" i="24"/>
  <c r="I214" i="24"/>
  <c r="I215" i="24"/>
  <c r="I216" i="24"/>
  <c r="I217" i="24"/>
  <c r="I218" i="24"/>
  <c r="I219" i="24"/>
  <c r="I220" i="24"/>
  <c r="I221" i="24"/>
  <c r="I222" i="24"/>
  <c r="I223" i="24"/>
  <c r="I224" i="24"/>
  <c r="I225" i="24"/>
  <c r="I226" i="24"/>
  <c r="I227" i="24"/>
  <c r="I228" i="24"/>
  <c r="I229" i="24"/>
  <c r="I230" i="24"/>
  <c r="I231" i="24"/>
  <c r="I232" i="24"/>
  <c r="I233" i="24"/>
  <c r="I234" i="24"/>
  <c r="I235" i="24"/>
  <c r="I236" i="24"/>
  <c r="I237" i="24"/>
  <c r="I238" i="24"/>
  <c r="I239" i="24"/>
  <c r="I240" i="24"/>
  <c r="I241" i="24"/>
  <c r="I242" i="24"/>
  <c r="I243" i="24"/>
  <c r="I244" i="24"/>
  <c r="I245" i="24"/>
  <c r="I246" i="24"/>
  <c r="I247" i="24"/>
  <c r="I248" i="24"/>
  <c r="I249" i="24"/>
  <c r="I250" i="24"/>
  <c r="I251" i="24"/>
  <c r="I252" i="24"/>
  <c r="I253" i="24"/>
  <c r="I254" i="24"/>
  <c r="I255" i="24"/>
  <c r="I256" i="24"/>
  <c r="I257" i="24"/>
  <c r="I258" i="24"/>
  <c r="I259" i="24"/>
  <c r="I260" i="24"/>
  <c r="I261" i="24"/>
  <c r="I262" i="24"/>
  <c r="I263" i="24"/>
  <c r="I264" i="24"/>
  <c r="I265" i="24"/>
  <c r="I266" i="24"/>
  <c r="I267" i="24"/>
  <c r="I268" i="24"/>
  <c r="I269" i="24"/>
  <c r="I270" i="24"/>
  <c r="I271" i="24"/>
  <c r="I272" i="24"/>
  <c r="I273" i="24"/>
  <c r="I274" i="24"/>
  <c r="I275" i="24"/>
  <c r="I276" i="24"/>
  <c r="I277" i="24"/>
  <c r="I278" i="24"/>
  <c r="I279" i="24"/>
  <c r="I280" i="24"/>
  <c r="I281" i="24"/>
  <c r="I282" i="24"/>
  <c r="I283" i="24"/>
  <c r="I284" i="24"/>
  <c r="I285" i="24"/>
  <c r="I286" i="24"/>
  <c r="I287" i="24"/>
  <c r="I288" i="24"/>
  <c r="I289" i="24"/>
  <c r="I290" i="24"/>
  <c r="I291" i="24"/>
  <c r="I292" i="24"/>
  <c r="I293" i="24"/>
  <c r="I294" i="24"/>
  <c r="I295" i="24"/>
  <c r="I296" i="24"/>
  <c r="I297" i="24"/>
  <c r="I298" i="24"/>
  <c r="I299" i="24"/>
  <c r="I300" i="24"/>
  <c r="I301" i="24"/>
  <c r="I302" i="24"/>
  <c r="I303" i="24"/>
  <c r="I304" i="24"/>
  <c r="I305" i="24"/>
  <c r="I306" i="24"/>
  <c r="I307" i="24"/>
  <c r="I308" i="24"/>
  <c r="I309" i="24"/>
  <c r="I310" i="24"/>
  <c r="I311" i="24"/>
  <c r="I312" i="24"/>
  <c r="I313" i="24"/>
  <c r="I314" i="24"/>
  <c r="I315" i="24"/>
  <c r="I316" i="24"/>
  <c r="I317" i="24"/>
  <c r="I318" i="24"/>
  <c r="I319" i="24"/>
  <c r="I320" i="24"/>
  <c r="I321" i="24"/>
  <c r="I322" i="24"/>
  <c r="I323" i="24"/>
  <c r="I324" i="24"/>
  <c r="I325" i="24"/>
  <c r="I326" i="24"/>
  <c r="I327" i="24"/>
  <c r="I328" i="24"/>
  <c r="I329" i="24"/>
  <c r="I330" i="24"/>
  <c r="I331" i="24"/>
  <c r="I332" i="24"/>
  <c r="I333" i="24"/>
  <c r="I334" i="24"/>
  <c r="I335" i="24"/>
  <c r="I336" i="24"/>
  <c r="I337" i="24"/>
  <c r="I338" i="24"/>
  <c r="I339" i="24"/>
  <c r="I340" i="24"/>
  <c r="I341" i="24"/>
  <c r="I342" i="24"/>
  <c r="I343" i="24"/>
  <c r="I344" i="24"/>
  <c r="I345" i="24"/>
  <c r="I346" i="24"/>
  <c r="I347" i="24"/>
  <c r="I348" i="24"/>
  <c r="I349" i="24"/>
  <c r="I350" i="24"/>
  <c r="I351" i="24"/>
  <c r="I352" i="24"/>
  <c r="I353" i="24"/>
  <c r="I354" i="24"/>
  <c r="I355" i="24"/>
  <c r="I356" i="24"/>
  <c r="I357" i="24"/>
  <c r="I358" i="24"/>
  <c r="I359" i="24"/>
  <c r="I360" i="24"/>
  <c r="I361" i="24"/>
  <c r="I362" i="24"/>
  <c r="I363" i="24"/>
  <c r="I364" i="24"/>
  <c r="I365" i="24"/>
  <c r="I366" i="24"/>
  <c r="I367" i="24"/>
  <c r="I368" i="24"/>
  <c r="I369" i="24"/>
  <c r="I370" i="24"/>
  <c r="I371" i="24"/>
  <c r="I372" i="24"/>
  <c r="I373" i="24"/>
  <c r="I374" i="24"/>
  <c r="I375" i="24"/>
  <c r="I376" i="24"/>
  <c r="I377" i="24"/>
  <c r="I378" i="24"/>
  <c r="I379" i="24"/>
  <c r="I380" i="24"/>
  <c r="I381" i="24"/>
  <c r="I382" i="24"/>
  <c r="I383" i="24"/>
  <c r="I384" i="24"/>
  <c r="I385" i="24"/>
  <c r="I386" i="24"/>
  <c r="I387" i="24"/>
  <c r="I388" i="24"/>
  <c r="I389" i="24"/>
  <c r="I390" i="24"/>
  <c r="I391" i="24"/>
  <c r="I392" i="24"/>
  <c r="I393" i="24"/>
  <c r="I394" i="24"/>
  <c r="I395" i="24"/>
  <c r="I396" i="24"/>
  <c r="I397" i="24"/>
  <c r="I398" i="24"/>
  <c r="I399" i="24"/>
  <c r="I400" i="24"/>
  <c r="I401" i="24"/>
  <c r="I402" i="24"/>
  <c r="I403" i="24"/>
  <c r="I404" i="24"/>
  <c r="I405" i="24"/>
  <c r="I406" i="24"/>
  <c r="I407" i="24"/>
  <c r="I408" i="24"/>
  <c r="I409" i="24"/>
  <c r="I410" i="24"/>
  <c r="I411" i="24"/>
  <c r="I412" i="24"/>
  <c r="I413" i="24"/>
  <c r="I414" i="24"/>
  <c r="I415" i="24"/>
  <c r="I416" i="24"/>
  <c r="I417" i="24"/>
  <c r="I418" i="24"/>
  <c r="I419" i="24"/>
  <c r="I420" i="24"/>
  <c r="I421" i="24"/>
  <c r="I422" i="24"/>
  <c r="I423" i="24"/>
  <c r="I424" i="24"/>
  <c r="I425" i="24"/>
  <c r="I426" i="24"/>
  <c r="I427" i="24"/>
  <c r="I428" i="24"/>
  <c r="I429" i="24"/>
  <c r="I430" i="24"/>
  <c r="I431" i="24"/>
  <c r="I432" i="24"/>
  <c r="I433" i="24"/>
  <c r="I434" i="24"/>
  <c r="I435" i="24"/>
  <c r="I436" i="24"/>
  <c r="I437" i="24"/>
  <c r="I438" i="24"/>
  <c r="I439" i="24"/>
  <c r="I440" i="24"/>
  <c r="I441" i="24"/>
  <c r="I442" i="24"/>
  <c r="I443" i="24"/>
  <c r="I444" i="24"/>
  <c r="I445" i="24"/>
  <c r="I446" i="24"/>
  <c r="I447" i="24"/>
  <c r="I448" i="24"/>
  <c r="I449" i="24"/>
  <c r="I450" i="24"/>
  <c r="I451" i="24"/>
  <c r="I452" i="24"/>
  <c r="I453" i="24"/>
  <c r="I454" i="24"/>
  <c r="I455" i="24"/>
  <c r="I456" i="24"/>
  <c r="I457" i="24"/>
  <c r="I458" i="24"/>
  <c r="I459" i="24"/>
  <c r="I460" i="24"/>
  <c r="I461" i="24"/>
  <c r="I462" i="24"/>
  <c r="I463" i="24"/>
  <c r="I464" i="24"/>
  <c r="I465" i="24"/>
  <c r="I466" i="24"/>
  <c r="I467" i="24"/>
  <c r="I468" i="24"/>
  <c r="I469" i="24"/>
  <c r="I470" i="24"/>
  <c r="I471" i="24"/>
  <c r="I472" i="24"/>
  <c r="I473" i="24"/>
  <c r="I474" i="24"/>
  <c r="I475" i="24"/>
  <c r="I476" i="24"/>
  <c r="I477" i="24"/>
  <c r="I478" i="24"/>
  <c r="I479" i="24"/>
  <c r="I480" i="24"/>
  <c r="I481" i="24"/>
  <c r="I482" i="24"/>
  <c r="I483" i="24"/>
  <c r="I484" i="24"/>
  <c r="I485" i="24"/>
  <c r="I486" i="24"/>
  <c r="I487" i="24"/>
  <c r="I488" i="24"/>
  <c r="I489" i="24"/>
  <c r="I490" i="24"/>
  <c r="I491" i="24"/>
  <c r="I492" i="24"/>
  <c r="I493" i="24"/>
  <c r="I494" i="24"/>
  <c r="I495" i="24"/>
  <c r="I496" i="24"/>
  <c r="I497" i="24"/>
  <c r="I498" i="24"/>
  <c r="I499" i="24"/>
  <c r="I500" i="24"/>
  <c r="I501" i="24"/>
  <c r="I502" i="24"/>
  <c r="I503" i="24"/>
  <c r="I504" i="24"/>
  <c r="I505" i="24"/>
  <c r="I506" i="24"/>
  <c r="I507" i="24"/>
  <c r="I508" i="24"/>
  <c r="I509" i="24"/>
  <c r="I510" i="24"/>
  <c r="I511" i="24"/>
  <c r="I512" i="24"/>
  <c r="I513" i="24"/>
  <c r="I514" i="24"/>
  <c r="I515" i="24"/>
  <c r="I516" i="24"/>
  <c r="I517" i="24"/>
  <c r="I518" i="24"/>
  <c r="I519" i="24"/>
  <c r="I520" i="24"/>
  <c r="I521" i="24"/>
  <c r="I522" i="24"/>
  <c r="I523" i="24"/>
  <c r="I524" i="24"/>
  <c r="I525" i="24"/>
  <c r="I526" i="24"/>
  <c r="I527" i="24"/>
  <c r="I528" i="24"/>
  <c r="I529" i="24"/>
  <c r="I530" i="24"/>
  <c r="I531" i="24"/>
  <c r="I532" i="24"/>
  <c r="I533" i="24"/>
  <c r="I534" i="24"/>
  <c r="I535" i="24"/>
  <c r="I536" i="24"/>
  <c r="I537" i="24"/>
  <c r="I538" i="24"/>
  <c r="I539" i="24"/>
  <c r="I540" i="24"/>
  <c r="I541" i="24"/>
  <c r="I542" i="24"/>
  <c r="I543" i="24"/>
  <c r="I544" i="24"/>
  <c r="I545" i="24"/>
  <c r="I546" i="24"/>
  <c r="I547" i="24"/>
  <c r="I548" i="24"/>
  <c r="I549" i="24"/>
  <c r="I550" i="24"/>
  <c r="I551" i="24"/>
  <c r="I552" i="24"/>
  <c r="I553" i="24"/>
  <c r="I554" i="24"/>
  <c r="I555" i="24"/>
  <c r="I556" i="24"/>
  <c r="I557" i="24"/>
  <c r="I558" i="24"/>
  <c r="I559" i="24"/>
  <c r="I560" i="24"/>
  <c r="I561" i="24"/>
  <c r="I562" i="24"/>
  <c r="I563" i="24"/>
  <c r="I564" i="24"/>
  <c r="I565" i="24"/>
  <c r="I566" i="24"/>
  <c r="I567" i="24"/>
  <c r="I568" i="24"/>
  <c r="I569" i="24"/>
  <c r="I570" i="24"/>
  <c r="I571" i="24"/>
  <c r="I572" i="24"/>
  <c r="I573" i="24"/>
  <c r="I574" i="24"/>
  <c r="I575" i="24"/>
  <c r="I576" i="24"/>
  <c r="I577" i="24"/>
  <c r="I578" i="24"/>
  <c r="I579" i="24"/>
  <c r="I580" i="24"/>
  <c r="I581" i="24"/>
  <c r="I582" i="24"/>
  <c r="I583" i="24"/>
  <c r="I584" i="24"/>
  <c r="I585" i="24"/>
  <c r="I586" i="24"/>
  <c r="I587" i="24"/>
  <c r="I588" i="24"/>
  <c r="I589" i="24"/>
  <c r="I590" i="24"/>
  <c r="I591" i="24"/>
  <c r="I592" i="24"/>
  <c r="I593" i="24"/>
  <c r="I594" i="24"/>
  <c r="I595" i="24"/>
  <c r="I596" i="24"/>
  <c r="I597" i="24"/>
  <c r="I598" i="24"/>
  <c r="I599" i="24"/>
  <c r="I600" i="24"/>
  <c r="I601" i="24"/>
  <c r="I602" i="24"/>
  <c r="I603" i="24"/>
  <c r="I604" i="24"/>
  <c r="I605" i="24"/>
  <c r="I606" i="24"/>
  <c r="I607" i="24"/>
  <c r="I608" i="24"/>
  <c r="I609" i="24"/>
  <c r="I610" i="24"/>
  <c r="I611" i="24"/>
  <c r="I612" i="24"/>
  <c r="I613" i="24"/>
  <c r="I614" i="24"/>
  <c r="I615" i="24"/>
  <c r="I616" i="24"/>
  <c r="I617" i="24"/>
  <c r="I618" i="24"/>
  <c r="I619" i="24"/>
  <c r="I620" i="24"/>
  <c r="I621" i="24"/>
  <c r="I622" i="24"/>
  <c r="I623" i="24"/>
  <c r="I624" i="24"/>
  <c r="I625" i="24"/>
  <c r="I626" i="24"/>
  <c r="I627" i="24"/>
  <c r="I628" i="24"/>
  <c r="I629" i="24"/>
  <c r="I630" i="24"/>
  <c r="I631" i="24"/>
  <c r="I632" i="24"/>
  <c r="I633" i="24"/>
  <c r="I634" i="24"/>
  <c r="I635" i="24"/>
  <c r="I636" i="24"/>
  <c r="I637" i="24"/>
  <c r="I638" i="24"/>
  <c r="I639" i="24"/>
  <c r="I640" i="24"/>
  <c r="I641" i="24"/>
  <c r="I642" i="24"/>
  <c r="I643" i="24"/>
  <c r="I644" i="24"/>
  <c r="I645" i="24"/>
  <c r="I646" i="24"/>
  <c r="I647" i="24"/>
  <c r="I648" i="24"/>
  <c r="I649" i="24"/>
  <c r="I650" i="24"/>
  <c r="I651" i="24"/>
  <c r="I652" i="24"/>
  <c r="I653" i="24"/>
  <c r="I654" i="24"/>
  <c r="I655" i="24"/>
  <c r="I656" i="24"/>
  <c r="I657" i="24"/>
  <c r="I658" i="24"/>
  <c r="I659" i="24"/>
  <c r="I660" i="24"/>
  <c r="I661" i="24"/>
  <c r="I662" i="24"/>
  <c r="I663" i="24"/>
  <c r="I664" i="24"/>
  <c r="I665" i="24"/>
  <c r="I666" i="24"/>
  <c r="I667" i="24"/>
  <c r="I668" i="24"/>
  <c r="I669" i="24"/>
  <c r="I670" i="24"/>
  <c r="I671" i="24"/>
  <c r="I672" i="24"/>
  <c r="I673" i="24"/>
  <c r="I674" i="24"/>
  <c r="I675" i="24"/>
  <c r="I676" i="24"/>
  <c r="I677" i="24"/>
  <c r="I678" i="24"/>
  <c r="I679" i="24"/>
  <c r="I680" i="24"/>
  <c r="I681" i="24"/>
  <c r="I682" i="24"/>
  <c r="I683" i="24"/>
  <c r="I684" i="24"/>
  <c r="I685" i="24"/>
  <c r="I686" i="24"/>
  <c r="I687" i="24"/>
  <c r="I688" i="24"/>
  <c r="I689" i="24"/>
  <c r="I690" i="24"/>
  <c r="I691" i="24"/>
  <c r="I692" i="24"/>
  <c r="I693" i="24"/>
  <c r="I694" i="24"/>
  <c r="I695" i="24"/>
  <c r="I696" i="24"/>
  <c r="I697" i="24"/>
  <c r="I698" i="24"/>
  <c r="I699" i="24"/>
  <c r="I700" i="24"/>
  <c r="I701" i="24"/>
  <c r="I702" i="24"/>
  <c r="I703" i="24"/>
  <c r="I704" i="24"/>
  <c r="I705" i="24"/>
  <c r="I706" i="24"/>
  <c r="I707" i="24"/>
  <c r="I708" i="24"/>
  <c r="I709" i="24"/>
  <c r="I710" i="24"/>
  <c r="I711" i="24"/>
  <c r="I712" i="24"/>
  <c r="I713" i="24"/>
  <c r="I714" i="24"/>
  <c r="I715" i="24"/>
  <c r="I716" i="24"/>
  <c r="I717" i="24"/>
  <c r="I718" i="24"/>
  <c r="I719" i="24"/>
  <c r="I720" i="24"/>
  <c r="I721" i="24"/>
  <c r="I722" i="24"/>
  <c r="I723" i="24"/>
  <c r="I724" i="24"/>
  <c r="I725" i="24"/>
  <c r="I726" i="24"/>
  <c r="I727" i="24"/>
  <c r="I728" i="24"/>
  <c r="I729" i="24"/>
  <c r="I730" i="24"/>
  <c r="I731" i="24"/>
  <c r="I732" i="24"/>
  <c r="I733" i="24"/>
  <c r="I734" i="24"/>
  <c r="I735" i="24"/>
  <c r="I736" i="24"/>
  <c r="I737" i="24"/>
  <c r="I738" i="24"/>
  <c r="I739" i="24"/>
  <c r="I740" i="24"/>
  <c r="I741" i="24"/>
  <c r="I742" i="24"/>
  <c r="I743" i="24"/>
  <c r="I744" i="24"/>
  <c r="I745" i="24"/>
  <c r="I746" i="24"/>
  <c r="I747" i="24"/>
  <c r="I748" i="24"/>
  <c r="I749" i="24"/>
  <c r="I750" i="24"/>
  <c r="I751" i="24"/>
  <c r="I752" i="24"/>
  <c r="I753" i="24"/>
  <c r="I754" i="24"/>
  <c r="I755" i="24"/>
  <c r="I756" i="24"/>
  <c r="I757" i="24"/>
  <c r="I758" i="24"/>
  <c r="I759" i="24"/>
  <c r="I760" i="24"/>
  <c r="I761" i="24"/>
  <c r="I762" i="24"/>
  <c r="I763" i="24"/>
  <c r="I764" i="24"/>
  <c r="I765" i="24"/>
  <c r="I766" i="24"/>
  <c r="I767" i="24"/>
  <c r="I768" i="24"/>
  <c r="I769" i="24"/>
  <c r="I770" i="24"/>
  <c r="I771" i="24"/>
  <c r="I772" i="24"/>
  <c r="I773" i="24"/>
  <c r="I774" i="24"/>
  <c r="I775" i="24"/>
  <c r="I776" i="24"/>
  <c r="I777" i="24"/>
  <c r="I778" i="24"/>
  <c r="I779" i="24"/>
  <c r="I780" i="24"/>
  <c r="I781" i="24"/>
  <c r="I782" i="24"/>
  <c r="I783" i="24"/>
  <c r="I784" i="24"/>
  <c r="I785" i="24"/>
  <c r="I786" i="24"/>
  <c r="I787" i="24"/>
  <c r="I788" i="24"/>
  <c r="I789" i="24"/>
  <c r="I790" i="24"/>
  <c r="I791" i="24"/>
  <c r="I792" i="24"/>
  <c r="I793" i="24"/>
  <c r="I794" i="24"/>
  <c r="I795" i="24"/>
  <c r="I796" i="24"/>
  <c r="I797" i="24"/>
  <c r="I798" i="24"/>
  <c r="I799" i="24"/>
  <c r="I800" i="24"/>
  <c r="I801" i="24"/>
  <c r="I802" i="24"/>
  <c r="I803" i="24"/>
  <c r="I804" i="24"/>
  <c r="I805" i="24"/>
  <c r="I806" i="24"/>
  <c r="I807" i="24"/>
  <c r="I808" i="24"/>
  <c r="I809" i="24"/>
  <c r="I810" i="24"/>
  <c r="I811" i="24"/>
  <c r="I812" i="24"/>
  <c r="I813" i="24"/>
  <c r="I814" i="24"/>
  <c r="I815" i="24"/>
  <c r="I816" i="24"/>
  <c r="I817" i="24"/>
  <c r="I818" i="24"/>
  <c r="I819" i="24"/>
  <c r="I820" i="24"/>
  <c r="I821" i="24"/>
  <c r="I822" i="24"/>
  <c r="I823" i="24"/>
  <c r="I824" i="24"/>
  <c r="I825" i="24"/>
  <c r="I826" i="24"/>
  <c r="I827" i="24"/>
  <c r="I828" i="24"/>
  <c r="I829" i="24"/>
  <c r="I830" i="24"/>
  <c r="I831" i="24"/>
  <c r="I832" i="24"/>
  <c r="I833" i="24"/>
  <c r="I834" i="24"/>
  <c r="I835" i="24"/>
  <c r="I836" i="24"/>
  <c r="I837" i="24"/>
  <c r="I838" i="24"/>
  <c r="I839" i="24"/>
  <c r="I840" i="24"/>
  <c r="I841" i="24"/>
  <c r="I842" i="24"/>
  <c r="I843" i="24"/>
  <c r="I844" i="24"/>
  <c r="I845" i="24"/>
  <c r="I846" i="24"/>
  <c r="I847" i="24"/>
  <c r="I848" i="24"/>
  <c r="I849" i="24"/>
  <c r="I850" i="24"/>
  <c r="I851" i="24"/>
  <c r="I852" i="24"/>
  <c r="I853" i="24"/>
  <c r="I854" i="24"/>
  <c r="I855" i="24"/>
  <c r="I856" i="24"/>
  <c r="I857" i="24"/>
  <c r="I858" i="24"/>
  <c r="I859" i="24"/>
  <c r="I860" i="24"/>
  <c r="I861" i="24"/>
  <c r="I862" i="24"/>
  <c r="I863" i="24"/>
  <c r="I864" i="24"/>
  <c r="I865" i="24"/>
  <c r="I866" i="24"/>
  <c r="I867" i="24"/>
  <c r="I868" i="24"/>
  <c r="I869" i="24"/>
  <c r="I870" i="24"/>
  <c r="I871" i="24"/>
  <c r="I872" i="24"/>
  <c r="I873" i="24"/>
  <c r="I874" i="24"/>
  <c r="I875" i="24"/>
  <c r="I876" i="24"/>
  <c r="I877" i="24"/>
  <c r="I878" i="24"/>
  <c r="I879" i="24"/>
  <c r="I880" i="24"/>
  <c r="I881" i="24"/>
  <c r="I882" i="24"/>
  <c r="I883" i="24"/>
  <c r="I884" i="24"/>
  <c r="I885" i="24"/>
  <c r="I886" i="24"/>
  <c r="I887" i="24"/>
  <c r="I888" i="24"/>
  <c r="I889" i="24"/>
  <c r="I890" i="24"/>
  <c r="I891" i="24"/>
  <c r="I892" i="24"/>
  <c r="I893" i="24"/>
  <c r="I894" i="24"/>
  <c r="I895" i="24"/>
  <c r="I896" i="24"/>
  <c r="I897" i="24"/>
  <c r="I898" i="24"/>
  <c r="I899" i="24"/>
  <c r="I900" i="24"/>
  <c r="I901" i="24"/>
  <c r="I902" i="24"/>
  <c r="I903" i="24"/>
  <c r="I904" i="24"/>
  <c r="I905" i="24"/>
  <c r="I906" i="24"/>
  <c r="I907" i="24"/>
  <c r="I908" i="24"/>
  <c r="I909" i="24"/>
  <c r="I910" i="24"/>
  <c r="I911" i="24"/>
  <c r="I912" i="24"/>
  <c r="I913" i="24"/>
  <c r="I914" i="24"/>
  <c r="I915" i="24"/>
  <c r="I916" i="24"/>
  <c r="I917" i="24"/>
  <c r="I918" i="24"/>
  <c r="I919" i="24"/>
  <c r="I920" i="24"/>
  <c r="I921" i="24"/>
  <c r="I922" i="24"/>
  <c r="I923" i="24"/>
  <c r="I924" i="24"/>
  <c r="I925" i="24"/>
  <c r="I926" i="24"/>
  <c r="I927" i="24"/>
  <c r="I928" i="24"/>
  <c r="I929" i="24"/>
  <c r="I930" i="24"/>
  <c r="I931" i="24"/>
  <c r="I932" i="24"/>
  <c r="I933" i="24"/>
  <c r="I934" i="24"/>
  <c r="I935" i="24"/>
  <c r="I936" i="24"/>
  <c r="I937" i="24"/>
  <c r="I938" i="24"/>
  <c r="I939" i="24"/>
  <c r="I940" i="24"/>
  <c r="I941" i="24"/>
  <c r="I942" i="24"/>
  <c r="I943" i="24"/>
  <c r="I944" i="24"/>
  <c r="I945" i="24"/>
  <c r="I946" i="24"/>
  <c r="I947" i="24"/>
  <c r="I948" i="24"/>
  <c r="I949" i="24"/>
  <c r="I950" i="24"/>
  <c r="I951" i="24"/>
  <c r="I952" i="24"/>
  <c r="I953" i="24"/>
  <c r="I954" i="24"/>
  <c r="I955" i="24"/>
  <c r="I956" i="24"/>
  <c r="I957" i="24"/>
  <c r="I958" i="24"/>
  <c r="I959" i="24"/>
  <c r="I960" i="24"/>
  <c r="I961" i="24"/>
  <c r="I962" i="24"/>
  <c r="I963" i="24"/>
  <c r="I964" i="24"/>
  <c r="I965" i="24"/>
  <c r="I966" i="24"/>
  <c r="I967" i="24"/>
  <c r="I968" i="24"/>
  <c r="I969" i="24"/>
  <c r="I970" i="24"/>
  <c r="I971" i="24"/>
  <c r="I972" i="24"/>
  <c r="I973" i="24"/>
  <c r="I974" i="24"/>
  <c r="I975" i="24"/>
  <c r="I976" i="24"/>
  <c r="I977" i="24"/>
  <c r="I978" i="24"/>
  <c r="I979" i="24"/>
  <c r="I980" i="24"/>
  <c r="I981" i="24"/>
  <c r="I982" i="24"/>
  <c r="I983" i="24"/>
  <c r="I984" i="24"/>
  <c r="I985" i="24"/>
  <c r="I986" i="24"/>
  <c r="I987" i="24"/>
  <c r="I988" i="24"/>
  <c r="I989" i="24"/>
  <c r="I990" i="24"/>
  <c r="I991" i="24"/>
  <c r="I992" i="24"/>
  <c r="I993" i="24"/>
  <c r="I994" i="24"/>
  <c r="I995" i="24"/>
  <c r="I996" i="24"/>
  <c r="I997" i="24"/>
  <c r="I998" i="24"/>
  <c r="I999" i="24"/>
  <c r="I1000" i="24"/>
  <c r="I1001" i="24"/>
  <c r="I1002" i="24"/>
  <c r="I3" i="24"/>
  <c r="I4" i="24"/>
  <c r="I5" i="24"/>
  <c r="I6" i="24"/>
  <c r="I7" i="24"/>
  <c r="I8" i="24"/>
  <c r="I9" i="24"/>
  <c r="I10" i="24"/>
  <c r="I11" i="24"/>
  <c r="I12" i="24"/>
  <c r="I13" i="24"/>
  <c r="I14" i="24"/>
  <c r="I15" i="24"/>
  <c r="I16" i="24"/>
  <c r="I17" i="24"/>
  <c r="I18" i="24"/>
  <c r="I19" i="24"/>
  <c r="I20" i="24"/>
  <c r="I21" i="24"/>
  <c r="I22" i="24"/>
  <c r="I23" i="24"/>
  <c r="I24" i="24"/>
  <c r="I25" i="24"/>
  <c r="I26" i="24"/>
  <c r="I27" i="24"/>
  <c r="I28" i="24"/>
  <c r="I29" i="24"/>
  <c r="I30" i="24"/>
  <c r="I31" i="24"/>
  <c r="I32" i="24"/>
  <c r="I33" i="24"/>
  <c r="I34" i="24"/>
  <c r="I35" i="24"/>
  <c r="I36" i="24"/>
  <c r="I37" i="24"/>
  <c r="I38" i="24"/>
  <c r="I39" i="24"/>
  <c r="I2" i="24"/>
</calcChain>
</file>

<file path=xl/sharedStrings.xml><?xml version="1.0" encoding="utf-8"?>
<sst xmlns="http://schemas.openxmlformats.org/spreadsheetml/2006/main" count="10107" uniqueCount="2054">
  <si>
    <t>Department</t>
  </si>
  <si>
    <t>Sales</t>
  </si>
  <si>
    <t>Analyst</t>
  </si>
  <si>
    <t>IT</t>
  </si>
  <si>
    <t>Annual Salary</t>
  </si>
  <si>
    <t>EEID</t>
  </si>
  <si>
    <t>Full Name</t>
  </si>
  <si>
    <t>Job Title</t>
  </si>
  <si>
    <t>Business Unit</t>
  </si>
  <si>
    <t>Gender</t>
  </si>
  <si>
    <t>Ethnicity</t>
  </si>
  <si>
    <t>Age</t>
  </si>
  <si>
    <t>Hire Date</t>
  </si>
  <si>
    <t>Bonus %</t>
  </si>
  <si>
    <t>Country</t>
  </si>
  <si>
    <t>City</t>
  </si>
  <si>
    <t>Exit Date</t>
  </si>
  <si>
    <t>E01238</t>
  </si>
  <si>
    <t>Aarav Patel</t>
  </si>
  <si>
    <t>Engineering Manager</t>
  </si>
  <si>
    <t>Engineering</t>
  </si>
  <si>
    <t>Research &amp; Development</t>
  </si>
  <si>
    <t>Male</t>
  </si>
  <si>
    <t>Asian</t>
  </si>
  <si>
    <t>India</t>
  </si>
  <si>
    <t>Mumbai</t>
  </si>
  <si>
    <t/>
  </si>
  <si>
    <t>E03567</t>
  </si>
  <si>
    <t>Aisha Khan</t>
  </si>
  <si>
    <t>Director</t>
  </si>
  <si>
    <t>Corporate</t>
  </si>
  <si>
    <t>Delhi</t>
  </si>
  <si>
    <t>E04218</t>
  </si>
  <si>
    <t>Akira Tanaka</t>
  </si>
  <si>
    <t>Technical Architect</t>
  </si>
  <si>
    <t>Female</t>
  </si>
  <si>
    <t>Japan</t>
  </si>
  <si>
    <t>Tokyo</t>
  </si>
  <si>
    <t>E02715</t>
  </si>
  <si>
    <t>Ananya Das</t>
  </si>
  <si>
    <t>Field Engineer</t>
  </si>
  <si>
    <t>Manufacturing</t>
  </si>
  <si>
    <t>Kolkata</t>
  </si>
  <si>
    <t>E04892</t>
  </si>
  <si>
    <t>Bo Liu</t>
  </si>
  <si>
    <t>Sr. Analyst</t>
  </si>
  <si>
    <t>China</t>
  </si>
  <si>
    <t>Beijing</t>
  </si>
  <si>
    <t>E02873</t>
  </si>
  <si>
    <t>Chamara Perera</t>
  </si>
  <si>
    <t xml:space="preserve">Manager  </t>
  </si>
  <si>
    <t>Sri Lanka</t>
  </si>
  <si>
    <t>Colombo</t>
  </si>
  <si>
    <t>E01862</t>
  </si>
  <si>
    <t>Devi Sharma</t>
  </si>
  <si>
    <t>Sr. Business Partner</t>
  </si>
  <si>
    <t>Human Resources</t>
  </si>
  <si>
    <t>Chennai</t>
  </si>
  <si>
    <t>E04910</t>
  </si>
  <si>
    <t>Fan Wei</t>
  </si>
  <si>
    <t>Manager</t>
  </si>
  <si>
    <t>Marketing</t>
  </si>
  <si>
    <t>Shanghai</t>
  </si>
  <si>
    <t>E01164</t>
  </si>
  <si>
    <t>Gaurav Verma</t>
  </si>
  <si>
    <t>Cloud Infrastructure Architect</t>
  </si>
  <si>
    <t>Bangalore</t>
  </si>
  <si>
    <t>E02934</t>
  </si>
  <si>
    <t>Harini Reddy</t>
  </si>
  <si>
    <t>Operations Engineer</t>
  </si>
  <si>
    <t>Hyderabad</t>
  </si>
  <si>
    <t>E03689</t>
  </si>
  <si>
    <t>Hiroshi Yamamoto</t>
  </si>
  <si>
    <t>Speciality Products</t>
  </si>
  <si>
    <t>Osaka</t>
  </si>
  <si>
    <t>E03120</t>
  </si>
  <si>
    <t>Ishaan Kapoor</t>
  </si>
  <si>
    <t>Pune</t>
  </si>
  <si>
    <t>E04635</t>
  </si>
  <si>
    <t>Jia Li</t>
  </si>
  <si>
    <t>Finance</t>
  </si>
  <si>
    <t>Guangzhou</t>
  </si>
  <si>
    <t>E04345</t>
  </si>
  <si>
    <t>Kavya Menon</t>
  </si>
  <si>
    <t>Kochi</t>
  </si>
  <si>
    <t>E03319</t>
  </si>
  <si>
    <t>Keisuke Nakamura</t>
  </si>
  <si>
    <t>Kyoto</t>
  </si>
  <si>
    <t>E04751</t>
  </si>
  <si>
    <t>Lakshmi Naidu</t>
  </si>
  <si>
    <t>Jaipur</t>
  </si>
  <si>
    <t>E02748</t>
  </si>
  <si>
    <t>Lei Chen</t>
  </si>
  <si>
    <t>Shenzhen</t>
  </si>
  <si>
    <t>E03819</t>
  </si>
  <si>
    <t>Malini Raj</t>
  </si>
  <si>
    <t>Ahmedabad</t>
  </si>
  <si>
    <t>E04023</t>
  </si>
  <si>
    <t>Manoj Singh</t>
  </si>
  <si>
    <t>Lucknow</t>
  </si>
  <si>
    <t>E04486</t>
  </si>
  <si>
    <t>Mei Wong</t>
  </si>
  <si>
    <t>Sr. Manger</t>
  </si>
  <si>
    <t>Tianjin</t>
  </si>
  <si>
    <t>E04445</t>
  </si>
  <si>
    <t>Naveen Kumar</t>
  </si>
  <si>
    <t>Business Partner</t>
  </si>
  <si>
    <t>Indore</t>
  </si>
  <si>
    <t>E02708</t>
  </si>
  <si>
    <t>Neha Shah</t>
  </si>
  <si>
    <t>Vice President</t>
  </si>
  <si>
    <t>Surat</t>
  </si>
  <si>
    <t>E01457</t>
  </si>
  <si>
    <t>Peng Zhao</t>
  </si>
  <si>
    <t>Chongqing</t>
  </si>
  <si>
    <t>E03786</t>
  </si>
  <si>
    <t>Priya Mishra</t>
  </si>
  <si>
    <t>Kanpur</t>
  </si>
  <si>
    <t>E03562</t>
  </si>
  <si>
    <t>Rajesh Patel</t>
  </si>
  <si>
    <t>Nagpur</t>
  </si>
  <si>
    <t>E02261</t>
  </si>
  <si>
    <t>Rina Kim</t>
  </si>
  <si>
    <t>System Administrator </t>
  </si>
  <si>
    <t>Chengdu</t>
  </si>
  <si>
    <t>E04730</t>
  </si>
  <si>
    <t>Santosh Kumar</t>
  </si>
  <si>
    <t>Thane</t>
  </si>
  <si>
    <t>E01909</t>
  </si>
  <si>
    <t>Shu Zhang</t>
  </si>
  <si>
    <t>Controls Engineer</t>
  </si>
  <si>
    <t>Wuhan</t>
  </si>
  <si>
    <t>E03575</t>
  </si>
  <si>
    <t>Simran Chopra</t>
  </si>
  <si>
    <t>Ludhiana</t>
  </si>
  <si>
    <t>E02594</t>
  </si>
  <si>
    <t>Subhash Chandra</t>
  </si>
  <si>
    <t>Systems Analyst</t>
  </si>
  <si>
    <t>Varanasi</t>
  </si>
  <si>
    <t>E04109</t>
  </si>
  <si>
    <t>Suraj Sharma</t>
  </si>
  <si>
    <t>Agra</t>
  </si>
  <si>
    <t>E02623</t>
  </si>
  <si>
    <t>Takumi Sato</t>
  </si>
  <si>
    <t>Analyst II</t>
  </si>
  <si>
    <t>Sapporo</t>
  </si>
  <si>
    <t>E04312</t>
  </si>
  <si>
    <t>Usha Gupta</t>
  </si>
  <si>
    <t>Rajkot</t>
  </si>
  <si>
    <t>E02476</t>
  </si>
  <si>
    <t>Vishal Singh</t>
  </si>
  <si>
    <t>E02849</t>
  </si>
  <si>
    <t>Xia Chen</t>
  </si>
  <si>
    <t>Xi'an</t>
  </si>
  <si>
    <t>E03554</t>
  </si>
  <si>
    <t>Yasmin Khan</t>
  </si>
  <si>
    <t>Allahabad</t>
  </si>
  <si>
    <t>E02613</t>
  </si>
  <si>
    <t>Yuuki Tanaka</t>
  </si>
  <si>
    <t>Yokohama</t>
  </si>
  <si>
    <t>E03483</t>
  </si>
  <si>
    <t>Zara Ali</t>
  </si>
  <si>
    <t>Account Representative</t>
  </si>
  <si>
    <t>Jabalpur</t>
  </si>
  <si>
    <t>E03440</t>
  </si>
  <si>
    <t>Abhay Joshi</t>
  </si>
  <si>
    <t>Vijayawada</t>
  </si>
  <si>
    <t>E01371</t>
  </si>
  <si>
    <t>Ai Fujimoto</t>
  </si>
  <si>
    <t>IT Coordinator</t>
  </si>
  <si>
    <t>Nagoya</t>
  </si>
  <si>
    <t>E01922</t>
  </si>
  <si>
    <t>Anushka Singh</t>
  </si>
  <si>
    <t>Jodhpur</t>
  </si>
  <si>
    <t>E02141</t>
  </si>
  <si>
    <t>Bin Zhang</t>
  </si>
  <si>
    <t>Harbin</t>
  </si>
  <si>
    <t>E04703</t>
  </si>
  <si>
    <t>Chandrika Rao</t>
  </si>
  <si>
    <t>Network Engineer</t>
  </si>
  <si>
    <t>Madurai</t>
  </si>
  <si>
    <t>E03140</t>
  </si>
  <si>
    <t>Dai Li</t>
  </si>
  <si>
    <t>Network Architect</t>
  </si>
  <si>
    <t>Nanjing</t>
  </si>
  <si>
    <t>E02466</t>
  </si>
  <si>
    <t>Deepak Verma</t>
  </si>
  <si>
    <t>Accounting</t>
  </si>
  <si>
    <t>Coimbatore</t>
  </si>
  <si>
    <t>E04512</t>
  </si>
  <si>
    <t>Elena Chen</t>
  </si>
  <si>
    <t>Hangzhou</t>
  </si>
  <si>
    <t>E04936</t>
  </si>
  <si>
    <t>Farhan Khan</t>
  </si>
  <si>
    <t>Amritsar</t>
  </si>
  <si>
    <t>E01438</t>
  </si>
  <si>
    <t>Gita Mehta</t>
  </si>
  <si>
    <t>Mangalore</t>
  </si>
  <si>
    <t>E04687</t>
  </si>
  <si>
    <t>Han Li</t>
  </si>
  <si>
    <t>Jinan</t>
  </si>
  <si>
    <t>E02300</t>
  </si>
  <si>
    <t>Irfan Malik</t>
  </si>
  <si>
    <t>Bhopal</t>
  </si>
  <si>
    <t>E04623</t>
  </si>
  <si>
    <t>Janani Ramesh</t>
  </si>
  <si>
    <t>Tiruchirapalli</t>
  </si>
  <si>
    <t>E03313</t>
  </si>
  <si>
    <t>Jiawei Wang</t>
  </si>
  <si>
    <t>Qingdao</t>
  </si>
  <si>
    <t>E02568</t>
  </si>
  <si>
    <t>Kala Krishnan</t>
  </si>
  <si>
    <t>Pondicherry</t>
  </si>
  <si>
    <t>E02520</t>
  </si>
  <si>
    <t>Karan Kapoor</t>
  </si>
  <si>
    <t>Udaipur</t>
  </si>
  <si>
    <t>E04941</t>
  </si>
  <si>
    <t>Lina Nguyen</t>
  </si>
  <si>
    <t>Vietnam</t>
  </si>
  <si>
    <t>Ho Chi Minh City</t>
  </si>
  <si>
    <t>E03077</t>
  </si>
  <si>
    <t>Manish Patel</t>
  </si>
  <si>
    <t>Ranchi</t>
  </si>
  <si>
    <t>E02315</t>
  </si>
  <si>
    <t>Mei Ling</t>
  </si>
  <si>
    <t>Dalian</t>
  </si>
  <si>
    <t>E03947</t>
  </si>
  <si>
    <t>Nandini Desai</t>
  </si>
  <si>
    <t>Jalandhar</t>
  </si>
  <si>
    <t>E04084</t>
  </si>
  <si>
    <t>Prakash Reddy</t>
  </si>
  <si>
    <t>Mysuru</t>
  </si>
  <si>
    <t>E03826</t>
  </si>
  <si>
    <t>Qing Chen</t>
  </si>
  <si>
    <t>Quality Engineer</t>
  </si>
  <si>
    <t>Foshan</t>
  </si>
  <si>
    <t>E03168</t>
  </si>
  <si>
    <t>Ravi Kumar</t>
  </si>
  <si>
    <t>Raipur</t>
  </si>
  <si>
    <t>E02072</t>
  </si>
  <si>
    <t>Sakura Tanaka</t>
  </si>
  <si>
    <t>Kawasaki</t>
  </si>
  <si>
    <t>E02797</t>
  </si>
  <si>
    <t>Sanjay Verma</t>
  </si>
  <si>
    <t>Patna</t>
  </si>
  <si>
    <t>E02787</t>
  </si>
  <si>
    <t>Seema Sharma</t>
  </si>
  <si>
    <t>Guwahati</t>
  </si>
  <si>
    <t>E04854</t>
  </si>
  <si>
    <t>Siti Nurul</t>
  </si>
  <si>
    <t>IT Systems Architect</t>
  </si>
  <si>
    <t>Indonesia</t>
  </si>
  <si>
    <t>Jakarta</t>
  </si>
  <si>
    <t>E03405</t>
  </si>
  <si>
    <t>Sunil Gupta</t>
  </si>
  <si>
    <t>Chandigarh</t>
  </si>
  <si>
    <t>E02752</t>
  </si>
  <si>
    <t>Tashi Wangchuk</t>
  </si>
  <si>
    <t>Bhutan</t>
  </si>
  <si>
    <t>Thimphu</t>
  </si>
  <si>
    <t>E03703</t>
  </si>
  <si>
    <t>Trinh Nguyen</t>
  </si>
  <si>
    <t>Hanoi</t>
  </si>
  <si>
    <t>E03660</t>
  </si>
  <si>
    <t>Varun Khanna</t>
  </si>
  <si>
    <t>Faridabad</t>
  </si>
  <si>
    <t>E04660</t>
  </si>
  <si>
    <t>Wei Yang</t>
  </si>
  <si>
    <t>Changsha</t>
  </si>
  <si>
    <t>E02093</t>
  </si>
  <si>
    <t>Xian Wu</t>
  </si>
  <si>
    <t>Zhengzhou</t>
  </si>
  <si>
    <t>E03868</t>
  </si>
  <si>
    <t>Yuki Tanaka</t>
  </si>
  <si>
    <t>Service Desk Analyst</t>
  </si>
  <si>
    <t>Kobe</t>
  </si>
  <si>
    <t>E02852</t>
  </si>
  <si>
    <t>Zoya Malik</t>
  </si>
  <si>
    <t>Noida</t>
  </si>
  <si>
    <t>E04061</t>
  </si>
  <si>
    <t>Aanya Singh</t>
  </si>
  <si>
    <t>Visakhapatnam</t>
  </si>
  <si>
    <t>E03289</t>
  </si>
  <si>
    <t>Aileen Lim</t>
  </si>
  <si>
    <t>Malaysia</t>
  </si>
  <si>
    <t>Kuala Lumpur</t>
  </si>
  <si>
    <t>E02126</t>
  </si>
  <si>
    <t>Akshay Deshmukh</t>
  </si>
  <si>
    <t>Aurangabad</t>
  </si>
  <si>
    <t>E04231</t>
  </si>
  <si>
    <t>Anjali Patel</t>
  </si>
  <si>
    <t>Jamshedpur</t>
  </si>
  <si>
    <t>E03111</t>
  </si>
  <si>
    <t>Bai Xiu</t>
  </si>
  <si>
    <t>Kunming</t>
  </si>
  <si>
    <t>E04265</t>
  </si>
  <si>
    <t>Cochin</t>
  </si>
  <si>
    <t>E04794</t>
  </si>
  <si>
    <t>Fuzhou</t>
  </si>
  <si>
    <t>E03295</t>
  </si>
  <si>
    <t>E01491</t>
  </si>
  <si>
    <t>Changchun</t>
  </si>
  <si>
    <t>E04484</t>
  </si>
  <si>
    <t>Fahim Rahman</t>
  </si>
  <si>
    <t>Bangladesh</t>
  </si>
  <si>
    <t>Dhaka</t>
  </si>
  <si>
    <t>E01807</t>
  </si>
  <si>
    <t>Geeta Sharma</t>
  </si>
  <si>
    <t>E02777</t>
  </si>
  <si>
    <t>Hanako Sato</t>
  </si>
  <si>
    <t>Sendai</t>
  </si>
  <si>
    <t>E03510</t>
  </si>
  <si>
    <t>Imran Khan</t>
  </si>
  <si>
    <t>Gwalior</t>
  </si>
  <si>
    <t>E03678</t>
  </si>
  <si>
    <t>Jiayi Chen</t>
  </si>
  <si>
    <t>Wuxi</t>
  </si>
  <si>
    <t>E04135</t>
  </si>
  <si>
    <t>Kalaivani Raj</t>
  </si>
  <si>
    <t>Sr. Account Representative</t>
  </si>
  <si>
    <t>Kozhikode</t>
  </si>
  <si>
    <t>E03684</t>
  </si>
  <si>
    <t>Jaisalmer</t>
  </si>
  <si>
    <t>E02153</t>
  </si>
  <si>
    <t>Da Nang</t>
  </si>
  <si>
    <t>E03175</t>
  </si>
  <si>
    <t>Srinagar</t>
  </si>
  <si>
    <t>E04699</t>
  </si>
  <si>
    <t>Mei Xiang</t>
  </si>
  <si>
    <t>Enterprise Architect</t>
  </si>
  <si>
    <t>Nanchang</t>
  </si>
  <si>
    <t>E03846</t>
  </si>
  <si>
    <t>Naina Verma</t>
  </si>
  <si>
    <t>E01324</t>
  </si>
  <si>
    <t>Nikhil Sharma</t>
  </si>
  <si>
    <t>Computer Systems Manager</t>
  </si>
  <si>
    <t>Patiala</t>
  </si>
  <si>
    <t>E04657</t>
  </si>
  <si>
    <t>Ong Su</t>
  </si>
  <si>
    <t>Penang</t>
  </si>
  <si>
    <t>E04182</t>
  </si>
  <si>
    <t>Pooja Patel</t>
  </si>
  <si>
    <t>HRIS Analyst</t>
  </si>
  <si>
    <t>E02180</t>
  </si>
  <si>
    <t>Qian Zhang</t>
  </si>
  <si>
    <t>Shijiazhuang</t>
  </si>
  <si>
    <t>E01857</t>
  </si>
  <si>
    <t>Rahul Kapoor</t>
  </si>
  <si>
    <t>Jamnagar</t>
  </si>
  <si>
    <t>E03523</t>
  </si>
  <si>
    <t>Reshma Khan</t>
  </si>
  <si>
    <t>Bhavnagar</t>
  </si>
  <si>
    <t>E04155</t>
  </si>
  <si>
    <t>Satoshi Takahashi</t>
  </si>
  <si>
    <t>Hiroshima</t>
  </si>
  <si>
    <t>E04274</t>
  </si>
  <si>
    <t>Shivani Gupta</t>
  </si>
  <si>
    <t>Rajahmundry</t>
  </si>
  <si>
    <t>E04739</t>
  </si>
  <si>
    <t>Surya Menon</t>
  </si>
  <si>
    <t>Guntur</t>
  </si>
  <si>
    <t>E03333</t>
  </si>
  <si>
    <t>Tian Wu</t>
  </si>
  <si>
    <t>E03545</t>
  </si>
  <si>
    <t>Umesh Singh</t>
  </si>
  <si>
    <t>E04463</t>
  </si>
  <si>
    <t>Vani Krishnan</t>
  </si>
  <si>
    <t>Thanjavur</t>
  </si>
  <si>
    <t>E04640</t>
  </si>
  <si>
    <t>Wei Li</t>
  </si>
  <si>
    <t>Yantai</t>
  </si>
  <si>
    <t>E02238</t>
  </si>
  <si>
    <t>Xiu Ying</t>
  </si>
  <si>
    <t>Hefei</t>
  </si>
  <si>
    <t>E03051</t>
  </si>
  <si>
    <t>Yukihiro Sato</t>
  </si>
  <si>
    <t>Nagasaki</t>
  </si>
  <si>
    <t>E04862</t>
  </si>
  <si>
    <t>Zainab Khan</t>
  </si>
  <si>
    <t>Bhubaneswar</t>
  </si>
  <si>
    <t>E02667</t>
  </si>
  <si>
    <t>E02658</t>
  </si>
  <si>
    <t>Akihiko Tanaka</t>
  </si>
  <si>
    <t>Saitama</t>
  </si>
  <si>
    <t>E03038</t>
  </si>
  <si>
    <t>E04674</t>
  </si>
  <si>
    <t>E03732</t>
  </si>
  <si>
    <t>Charu Mehta</t>
  </si>
  <si>
    <t>Kota</t>
  </si>
  <si>
    <t>E03012</t>
  </si>
  <si>
    <t>Daichi Tanaka</t>
  </si>
  <si>
    <t>Okayama</t>
  </si>
  <si>
    <t>E04563</t>
  </si>
  <si>
    <t>Ekta Verma</t>
  </si>
  <si>
    <t>Panipat</t>
  </si>
  <si>
    <t>E03282</t>
  </si>
  <si>
    <t>Fadil Rahman</t>
  </si>
  <si>
    <t>Surabaya</t>
  </si>
  <si>
    <t>E02008</t>
  </si>
  <si>
    <t>Gyan Kapoor</t>
  </si>
  <si>
    <t>Nellore</t>
  </si>
  <si>
    <t>E04302</t>
  </si>
  <si>
    <t>Hana Kim</t>
  </si>
  <si>
    <t>South Korea</t>
  </si>
  <si>
    <t>Seoul</t>
  </si>
  <si>
    <t>E02362</t>
  </si>
  <si>
    <t>Imtiyaz Ali</t>
  </si>
  <si>
    <t>Nizamabad</t>
  </si>
  <si>
    <t>E03460</t>
  </si>
  <si>
    <t>Jiaying Chen</t>
  </si>
  <si>
    <t>Ningbo</t>
  </si>
  <si>
    <t>E04718</t>
  </si>
  <si>
    <t>Kavitha Naidu</t>
  </si>
  <si>
    <t>E02207</t>
  </si>
  <si>
    <t>Krish Menon</t>
  </si>
  <si>
    <t>Kollam</t>
  </si>
  <si>
    <t>E02706</t>
  </si>
  <si>
    <t>Lei Wang</t>
  </si>
  <si>
    <t>Xuzhou</t>
  </si>
  <si>
    <t>E04054</t>
  </si>
  <si>
    <t>Mala Reddy</t>
  </si>
  <si>
    <t>Anantapur</t>
  </si>
  <si>
    <t>E04405</t>
  </si>
  <si>
    <t>Manu Singh</t>
  </si>
  <si>
    <t>E02869</t>
  </si>
  <si>
    <t>Mei Xiu</t>
  </si>
  <si>
    <t>Wenzhou</t>
  </si>
  <si>
    <t>E04692</t>
  </si>
  <si>
    <t>Mohan Kumar</t>
  </si>
  <si>
    <t>Warangal</t>
  </si>
  <si>
    <t>E01478</t>
  </si>
  <si>
    <t>Naoki Sato</t>
  </si>
  <si>
    <t>Chiba</t>
  </si>
  <si>
    <t>E01385</t>
  </si>
  <si>
    <t>Nisha Verma</t>
  </si>
  <si>
    <t>Vellore</t>
  </si>
  <si>
    <t>E03503</t>
  </si>
  <si>
    <t>Omar Malik</t>
  </si>
  <si>
    <t>E03304</t>
  </si>
  <si>
    <t>Priyanaka Patel</t>
  </si>
  <si>
    <t>Bhilai</t>
  </si>
  <si>
    <t>E02728</t>
  </si>
  <si>
    <t>Qi Zhang</t>
  </si>
  <si>
    <t>Hohhot</t>
  </si>
  <si>
    <t>E04206</t>
  </si>
  <si>
    <t>Rahul Singh</t>
  </si>
  <si>
    <t>Development Engineer</t>
  </si>
  <si>
    <t>Kakinada</t>
  </si>
  <si>
    <t>E02167</t>
  </si>
  <si>
    <t>Roshni Kapoor</t>
  </si>
  <si>
    <t>Aligarh</t>
  </si>
  <si>
    <t>E03025</t>
  </si>
  <si>
    <t>Satoshi Tanaka</t>
  </si>
  <si>
    <t>Fukuoka</t>
  </si>
  <si>
    <t>E03671</t>
  </si>
  <si>
    <t>Shiva Menon</t>
  </si>
  <si>
    <t>Salem</t>
  </si>
  <si>
    <t>E03838</t>
  </si>
  <si>
    <t>Soo Kim</t>
  </si>
  <si>
    <t>Busan</t>
  </si>
  <si>
    <t>E04961</t>
  </si>
  <si>
    <t>Tenzin Wangchuk</t>
  </si>
  <si>
    <t>Tibet</t>
  </si>
  <si>
    <t>Lhasa</t>
  </si>
  <si>
    <t>E02678</t>
  </si>
  <si>
    <t>Trang Nguyen</t>
  </si>
  <si>
    <t>Hai Phong</t>
  </si>
  <si>
    <t>E02214</t>
  </si>
  <si>
    <t>Veer Khanna</t>
  </si>
  <si>
    <t>Network Administrator</t>
  </si>
  <si>
    <t>Gorakhpur</t>
  </si>
  <si>
    <t>E04606</t>
  </si>
  <si>
    <t>Weiwei Chen</t>
  </si>
  <si>
    <t>Guiyang</t>
  </si>
  <si>
    <t>E04163</t>
  </si>
  <si>
    <t>Xiaoli Zhang</t>
  </si>
  <si>
    <t>Taiyuan</t>
  </si>
  <si>
    <t>E04619</t>
  </si>
  <si>
    <t>Yash Joshi</t>
  </si>
  <si>
    <t>Bhilwara</t>
  </si>
  <si>
    <t>E04984</t>
  </si>
  <si>
    <t>E03191</t>
  </si>
  <si>
    <t>E02718</t>
  </si>
  <si>
    <t>E04763</t>
  </si>
  <si>
    <t>E04539</t>
  </si>
  <si>
    <t>E01944</t>
  </si>
  <si>
    <t>E02731</t>
  </si>
  <si>
    <t>E03476</t>
  </si>
  <si>
    <t>E03388</t>
  </si>
  <si>
    <t>E04682</t>
  </si>
  <si>
    <t>E02286</t>
  </si>
  <si>
    <t>E04420</t>
  </si>
  <si>
    <t>E03896</t>
  </si>
  <si>
    <t>E03152</t>
  </si>
  <si>
    <t>E03964</t>
  </si>
  <si>
    <t>E03129</t>
  </si>
  <si>
    <t>E04784</t>
  </si>
  <si>
    <t>E03982</t>
  </si>
  <si>
    <t>E04338</t>
  </si>
  <si>
    <t>E02740</t>
  </si>
  <si>
    <t>E02440</t>
  </si>
  <si>
    <t>E02100</t>
  </si>
  <si>
    <t>E04580</t>
  </si>
  <si>
    <t>E02784</t>
  </si>
  <si>
    <t>E02083</t>
  </si>
  <si>
    <t>E03598</t>
  </si>
  <si>
    <t>E02725</t>
  </si>
  <si>
    <t>E03243</t>
  </si>
  <si>
    <t>E03454</t>
  </si>
  <si>
    <t>E04525</t>
  </si>
  <si>
    <t>E02826</t>
  </si>
  <si>
    <t>E02687</t>
  </si>
  <si>
    <t>E04111</t>
  </si>
  <si>
    <t>E02225</t>
  </si>
  <si>
    <t>E03394</t>
  </si>
  <si>
    <t>E04429</t>
  </si>
  <si>
    <t>E03260</t>
  </si>
  <si>
    <t>E04517</t>
  </si>
  <si>
    <t>E03625</t>
  </si>
  <si>
    <t>E03277</t>
  </si>
  <si>
    <t>E01967</t>
  </si>
  <si>
    <t>E04628</t>
  </si>
  <si>
    <t>E04472</t>
  </si>
  <si>
    <t>E03607</t>
  </si>
  <si>
    <t>E03000</t>
  </si>
  <si>
    <t>E02884</t>
  </si>
  <si>
    <t>E02945</t>
  </si>
  <si>
    <t>E04145</t>
  </si>
  <si>
    <t>E03106</t>
  </si>
  <si>
    <t>E04128</t>
  </si>
  <si>
    <t>E03883</t>
  </si>
  <si>
    <t>E02202</t>
  </si>
  <si>
    <t>E02390</t>
  </si>
  <si>
    <t>E04212</t>
  </si>
  <si>
    <t>E02491</t>
  </si>
  <si>
    <t>E03698</t>
  </si>
  <si>
    <t>Solutions Architect</t>
  </si>
  <si>
    <t>E02969</t>
  </si>
  <si>
    <t>E03063</t>
  </si>
  <si>
    <t>E04172</t>
  </si>
  <si>
    <t>Test Engineer</t>
  </si>
  <si>
    <t>E03857</t>
  </si>
  <si>
    <t>E04651</t>
  </si>
  <si>
    <t>E04117</t>
  </si>
  <si>
    <t>E04955</t>
  </si>
  <si>
    <t>E04377</t>
  </si>
  <si>
    <t>E03530</t>
  </si>
  <si>
    <t>E03928</t>
  </si>
  <si>
    <t>E02976</t>
  </si>
  <si>
    <t>E04929</t>
  </si>
  <si>
    <t>E04553</t>
  </si>
  <si>
    <t>E03134</t>
  </si>
  <si>
    <t>E03616</t>
  </si>
  <si>
    <t>E04773</t>
  </si>
  <si>
    <t>E03654</t>
  </si>
  <si>
    <t>E03780</t>
  </si>
  <si>
    <t>E03589</t>
  </si>
  <si>
    <t>E04009</t>
  </si>
  <si>
    <t>E02134</t>
  </si>
  <si>
    <t>E04497</t>
  </si>
  <si>
    <t>E03874</t>
  </si>
  <si>
    <t>E03635</t>
  </si>
  <si>
    <t>E03909</t>
  </si>
  <si>
    <t>E04633</t>
  </si>
  <si>
    <t>E04402</t>
  </si>
  <si>
    <t>E02586</t>
  </si>
  <si>
    <t>E03471</t>
  </si>
  <si>
    <t>E02384</t>
  </si>
  <si>
    <t>E04758</t>
  </si>
  <si>
    <t>E02573</t>
  </si>
  <si>
    <t>E03089</t>
  </si>
  <si>
    <t>E02526</t>
  </si>
  <si>
    <t>E03536</t>
  </si>
  <si>
    <t>E03159</t>
  </si>
  <si>
    <t>E04452</t>
  </si>
  <si>
    <t>E04391</t>
  </si>
  <si>
    <t>E04570</t>
  </si>
  <si>
    <t>E03268</t>
  </si>
  <si>
    <t>E03236</t>
  </si>
  <si>
    <t>E03710</t>
  </si>
  <si>
    <t>E02195</t>
  </si>
  <si>
    <t>E02804</t>
  </si>
  <si>
    <t>E02429</t>
  </si>
  <si>
    <t>E04816</t>
  </si>
  <si>
    <t>E03801</t>
  </si>
  <si>
    <t>E02371</t>
  </si>
  <si>
    <t>E04645</t>
  </si>
  <si>
    <t>E02952</t>
  </si>
  <si>
    <t>E04977</t>
  </si>
  <si>
    <t>Yuki Takahashi</t>
  </si>
  <si>
    <t>E03643</t>
  </si>
  <si>
    <t>E03183</t>
  </si>
  <si>
    <t>Aarush Mehta</t>
  </si>
  <si>
    <t>E03794</t>
  </si>
  <si>
    <t>E04726</t>
  </si>
  <si>
    <t>E03662</t>
  </si>
  <si>
    <t>E03831</t>
  </si>
  <si>
    <t>E04005</t>
  </si>
  <si>
    <t>Chandra Singh</t>
  </si>
  <si>
    <t>E04926</t>
  </si>
  <si>
    <t>Dan Li</t>
  </si>
  <si>
    <t>E03146</t>
  </si>
  <si>
    <t>Diya Choudhury</t>
  </si>
  <si>
    <t>E04884</t>
  </si>
  <si>
    <t>Eiji Tanaka</t>
  </si>
  <si>
    <t>E03861</t>
  </si>
  <si>
    <t>E03417</t>
  </si>
  <si>
    <t>E04199</t>
  </si>
  <si>
    <t>E04136</t>
  </si>
  <si>
    <t>E04869</t>
  </si>
  <si>
    <t>E03026</t>
  </si>
  <si>
    <t>E03082</t>
  </si>
  <si>
    <t>Kunal Kapoor</t>
  </si>
  <si>
    <t>E04507</t>
  </si>
  <si>
    <t>Leela Nair</t>
  </si>
  <si>
    <t>E02719</t>
  </si>
  <si>
    <t>Liang Wang</t>
  </si>
  <si>
    <t>E04603</t>
  </si>
  <si>
    <t>Madhav Reddy</t>
  </si>
  <si>
    <t>E03516</t>
  </si>
  <si>
    <t>Mika Yamamoto</t>
  </si>
  <si>
    <t>E03222</t>
  </si>
  <si>
    <t>E03207</t>
  </si>
  <si>
    <t>E04747</t>
  </si>
  <si>
    <t>E03679</t>
  </si>
  <si>
    <t>E03230</t>
  </si>
  <si>
    <t>Qiu Lei</t>
  </si>
  <si>
    <t>E04679</t>
  </si>
  <si>
    <t>E04416</t>
  </si>
  <si>
    <t>E02120</t>
  </si>
  <si>
    <t>E04479</t>
  </si>
  <si>
    <t>E03935</t>
  </si>
  <si>
    <t>E03752</t>
  </si>
  <si>
    <t>E03891</t>
  </si>
  <si>
    <t>E04096</t>
  </si>
  <si>
    <t>E03501</t>
  </si>
  <si>
    <t>E02346</t>
  </si>
  <si>
    <t>E04283</t>
  </si>
  <si>
    <t>E04945</t>
  </si>
  <si>
    <t>E02188</t>
  </si>
  <si>
    <t>Aditya Joshi</t>
  </si>
  <si>
    <t>E02742</t>
  </si>
  <si>
    <t>Akemi Nakamura</t>
  </si>
  <si>
    <t>E03019</t>
  </si>
  <si>
    <t>Anisha Sharma</t>
  </si>
  <si>
    <t>E03346</t>
  </si>
  <si>
    <t>Bin Han</t>
  </si>
  <si>
    <t>E04070</t>
  </si>
  <si>
    <t>E04693</t>
  </si>
  <si>
    <t>E03199</t>
  </si>
  <si>
    <t>E02316</t>
  </si>
  <si>
    <t>E03123</t>
  </si>
  <si>
    <t>E03254</t>
  </si>
  <si>
    <t>E03359</t>
  </si>
  <si>
    <t>E03572</t>
  </si>
  <si>
    <t>E04900</t>
  </si>
  <si>
    <t>E04442</t>
  </si>
  <si>
    <t>E04330</t>
  </si>
  <si>
    <t>Automation Engineer</t>
  </si>
  <si>
    <t>E03813</t>
  </si>
  <si>
    <t>E04919</t>
  </si>
  <si>
    <t>E04599</t>
  </si>
  <si>
    <t>E04409</t>
  </si>
  <si>
    <t>Nandita Shah</t>
  </si>
  <si>
    <t>E02921</t>
  </si>
  <si>
    <t>Nishant Verma</t>
  </si>
  <si>
    <t>E04789</t>
  </si>
  <si>
    <t>Ong Wei</t>
  </si>
  <si>
    <t>E02789</t>
  </si>
  <si>
    <t>Priyanka Patel</t>
  </si>
  <si>
    <t>E03631</t>
  </si>
  <si>
    <t>E04532</t>
  </si>
  <si>
    <t>Raj Kapoor</t>
  </si>
  <si>
    <t>E03672</t>
  </si>
  <si>
    <t>Reina Tanaka</t>
  </si>
  <si>
    <t>E04304</t>
  </si>
  <si>
    <t>Sachin Sharma</t>
  </si>
  <si>
    <t>E03839</t>
  </si>
  <si>
    <t>Sarita Naidu</t>
  </si>
  <si>
    <t>E04591</t>
  </si>
  <si>
    <t>Shun Yamamoto</t>
  </si>
  <si>
    <t>E03451</t>
  </si>
  <si>
    <t>Sonia Verma</t>
  </si>
  <si>
    <t>E04194</t>
  </si>
  <si>
    <t>Takashi Nakamura</t>
  </si>
  <si>
    <t>E04714</t>
  </si>
  <si>
    <t>Uday Desai</t>
  </si>
  <si>
    <t>E04681</t>
  </si>
  <si>
    <t>Varsha Menon</t>
  </si>
  <si>
    <t>E02841</t>
  </si>
  <si>
    <t>E03386</t>
  </si>
  <si>
    <t>E04215</t>
  </si>
  <si>
    <t>E04604</t>
  </si>
  <si>
    <t>E03151</t>
  </si>
  <si>
    <t>E04738</t>
  </si>
  <si>
    <t>Anjum Khan</t>
  </si>
  <si>
    <t>E04832</t>
  </si>
  <si>
    <t>Bo Wang</t>
  </si>
  <si>
    <t>E03820</t>
  </si>
  <si>
    <t>Chetna Patel</t>
  </si>
  <si>
    <t>E04685</t>
  </si>
  <si>
    <t>Daisuke Sato</t>
  </si>
  <si>
    <t>E02793</t>
  </si>
  <si>
    <t>Esha Reddy</t>
  </si>
  <si>
    <t>E04207</t>
  </si>
  <si>
    <t>Farid Rahman</t>
  </si>
  <si>
    <t>E03097</t>
  </si>
  <si>
    <t>Gautam Kapoor</t>
  </si>
  <si>
    <t>E04421</t>
  </si>
  <si>
    <t>Hikari Tanaka</t>
  </si>
  <si>
    <t>E04399</t>
  </si>
  <si>
    <t>Ishita Verma</t>
  </si>
  <si>
    <t>E04247</t>
  </si>
  <si>
    <t>Jiahui Chen</t>
  </si>
  <si>
    <t>E03242</t>
  </si>
  <si>
    <t>Kalyan Naidu</t>
  </si>
  <si>
    <t>E04269</t>
  </si>
  <si>
    <t>Kritika Sharma</t>
  </si>
  <si>
    <t>E03297</t>
  </si>
  <si>
    <t>Le Wang</t>
  </si>
  <si>
    <t>E04239</t>
  </si>
  <si>
    <t>Meena Raj</t>
  </si>
  <si>
    <t>E03300</t>
  </si>
  <si>
    <t>E04223</t>
  </si>
  <si>
    <t>E03484</t>
  </si>
  <si>
    <t>E04288</t>
  </si>
  <si>
    <t>E03447</t>
  </si>
  <si>
    <t>E04252</t>
  </si>
  <si>
    <t>E03390</t>
  </si>
  <si>
    <t>E04226</t>
  </si>
  <si>
    <t>E03354</t>
  </si>
  <si>
    <t>E04290</t>
  </si>
  <si>
    <t>E03424</t>
  </si>
  <si>
    <t>E04244</t>
  </si>
  <si>
    <t>E03360</t>
  </si>
  <si>
    <t>E04293</t>
  </si>
  <si>
    <t>E03404</t>
  </si>
  <si>
    <t>E04267</t>
  </si>
  <si>
    <t>Xiu Lan</t>
  </si>
  <si>
    <t>E03326</t>
  </si>
  <si>
    <t>Yuriko Tanaka</t>
  </si>
  <si>
    <t>E04258</t>
  </si>
  <si>
    <t>Zara Ahmed</t>
  </si>
  <si>
    <t>E03330</t>
  </si>
  <si>
    <t>Aditi Joshi</t>
  </si>
  <si>
    <t>E04275</t>
  </si>
  <si>
    <t>Akira Nakamura</t>
  </si>
  <si>
    <t>E03477</t>
  </si>
  <si>
    <t>Ankit Sharma</t>
  </si>
  <si>
    <t>E04298</t>
  </si>
  <si>
    <t>Bai Wei</t>
  </si>
  <si>
    <t>E03432</t>
  </si>
  <si>
    <t>Chetan Patel</t>
  </si>
  <si>
    <t>E04308</t>
  </si>
  <si>
    <t>Dian Li</t>
  </si>
  <si>
    <t>E03488</t>
  </si>
  <si>
    <t>E04255</t>
  </si>
  <si>
    <t>Faisal Rahman</t>
  </si>
  <si>
    <t>E03456</t>
  </si>
  <si>
    <t>Gopal Verma</t>
  </si>
  <si>
    <t>E04281</t>
  </si>
  <si>
    <t>Hina Tanaka</t>
  </si>
  <si>
    <t>E03543</t>
  </si>
  <si>
    <t>Isha Kapoor</t>
  </si>
  <si>
    <t>E04305</t>
  </si>
  <si>
    <t>Jie Chen</t>
  </si>
  <si>
    <t>E03464</t>
  </si>
  <si>
    <t>Kavita Menon</t>
  </si>
  <si>
    <t>E04303</t>
  </si>
  <si>
    <t>Krish Kapoor</t>
  </si>
  <si>
    <t>E03512</t>
  </si>
  <si>
    <t>Li Wei</t>
  </si>
  <si>
    <t>E04234</t>
  </si>
  <si>
    <t>Mihir Shah</t>
  </si>
  <si>
    <t>E03428</t>
  </si>
  <si>
    <t>Mona Patel</t>
  </si>
  <si>
    <t>E04307</t>
  </si>
  <si>
    <t>Natsuki Tanaka</t>
  </si>
  <si>
    <t>E04272</t>
  </si>
  <si>
    <t>Neelam Verma</t>
  </si>
  <si>
    <t>E03500</t>
  </si>
  <si>
    <t>Omar Ali</t>
  </si>
  <si>
    <t>E04306</t>
  </si>
  <si>
    <t>Preeti Sharma</t>
  </si>
  <si>
    <t>E03472</t>
  </si>
  <si>
    <t>Quan Zhang</t>
  </si>
  <si>
    <t>E04294</t>
  </si>
  <si>
    <t>E03448</t>
  </si>
  <si>
    <t>Ritu Singh</t>
  </si>
  <si>
    <t>E03416</t>
  </si>
  <si>
    <t>Satoshi Sato</t>
  </si>
  <si>
    <t>E04240</t>
  </si>
  <si>
    <t>Shyam Menon</t>
  </si>
  <si>
    <t>E03520</t>
  </si>
  <si>
    <t>Siti Nur</t>
  </si>
  <si>
    <t>E04271</t>
  </si>
  <si>
    <t>Tenzing Wangchuk</t>
  </si>
  <si>
    <t>E03334</t>
  </si>
  <si>
    <t>Uyen Nguyen</t>
  </si>
  <si>
    <t>E04301</t>
  </si>
  <si>
    <t>E03408</t>
  </si>
  <si>
    <t>Wei Xiu</t>
  </si>
  <si>
    <t>E04299</t>
  </si>
  <si>
    <t>Xiaowei Zhang</t>
  </si>
  <si>
    <t>E03496</t>
  </si>
  <si>
    <t>E04280</t>
  </si>
  <si>
    <t>Aarohi Singh</t>
  </si>
  <si>
    <t>E04243</t>
  </si>
  <si>
    <t>Akito Tanaka</t>
  </si>
  <si>
    <t>E03400</t>
  </si>
  <si>
    <t>Anshu Sharma</t>
  </si>
  <si>
    <t>E04238</t>
  </si>
  <si>
    <t>E03480</t>
  </si>
  <si>
    <t>Chirag Patel</t>
  </si>
  <si>
    <t>E04229</t>
  </si>
  <si>
    <t>Dinh Li</t>
  </si>
  <si>
    <t>E03308</t>
  </si>
  <si>
    <t>Ema Chen</t>
  </si>
  <si>
    <t>E04253</t>
  </si>
  <si>
    <t>Farhan Rahman</t>
  </si>
  <si>
    <t>E03468</t>
  </si>
  <si>
    <t>Gauri Verma</t>
  </si>
  <si>
    <t>E04279</t>
  </si>
  <si>
    <t>Anuska Palani</t>
  </si>
  <si>
    <t>E03320</t>
  </si>
  <si>
    <t>Irfan Kapoor</t>
  </si>
  <si>
    <t>E04289</t>
  </si>
  <si>
    <t>Senthil Kumar</t>
  </si>
  <si>
    <t>E04311</t>
  </si>
  <si>
    <t>Hadley Dang</t>
  </si>
  <si>
    <t>Ayodhya</t>
  </si>
  <si>
    <t>E04287</t>
  </si>
  <si>
    <t>Ava Nelson</t>
  </si>
  <si>
    <t>Caucasian</t>
  </si>
  <si>
    <t>United States</t>
  </si>
  <si>
    <t>Phoenix</t>
  </si>
  <si>
    <t>E04291</t>
  </si>
  <si>
    <t>Jose Ross</t>
  </si>
  <si>
    <t>Miami</t>
  </si>
  <si>
    <t>E04249</t>
  </si>
  <si>
    <t>Emily Contreras</t>
  </si>
  <si>
    <t>Latino</t>
  </si>
  <si>
    <t>Brazil</t>
  </si>
  <si>
    <t>Sao Paulo</t>
  </si>
  <si>
    <t>E03336</t>
  </si>
  <si>
    <t>Grayson Turner</t>
  </si>
  <si>
    <t>Chicago</t>
  </si>
  <si>
    <t>E04310</t>
  </si>
  <si>
    <t>Benjamin Delgado</t>
  </si>
  <si>
    <t>Austin</t>
  </si>
  <si>
    <t>E04276</t>
  </si>
  <si>
    <t>Camila Evans</t>
  </si>
  <si>
    <t>Black</t>
  </si>
  <si>
    <t>E04278</t>
  </si>
  <si>
    <t>Jayden Williams</t>
  </si>
  <si>
    <t>Columbus</t>
  </si>
  <si>
    <t>E04246</t>
  </si>
  <si>
    <t>Daniel Jordan</t>
  </si>
  <si>
    <t>E04273</t>
  </si>
  <si>
    <t>Kinsley Martinez</t>
  </si>
  <si>
    <t>E04295</t>
  </si>
  <si>
    <t>Colton Garcia</t>
  </si>
  <si>
    <t>E04251</t>
  </si>
  <si>
    <t>Leah Pena</t>
  </si>
  <si>
    <t>Manaus</t>
  </si>
  <si>
    <t>E03338</t>
  </si>
  <si>
    <t>Eliana Grant</t>
  </si>
  <si>
    <t>E04282</t>
  </si>
  <si>
    <t>Lyla Alvarez</t>
  </si>
  <si>
    <t>E03344</t>
  </si>
  <si>
    <t>Jordan Gomez</t>
  </si>
  <si>
    <t>Rio de Janerio</t>
  </si>
  <si>
    <t>E04286</t>
  </si>
  <si>
    <t>Alice Roberts</t>
  </si>
  <si>
    <t>E03352</t>
  </si>
  <si>
    <t>Jameson Juarez</t>
  </si>
  <si>
    <t>E04245</t>
  </si>
  <si>
    <t>Penelope Gonzalez</t>
  </si>
  <si>
    <t>E03342</t>
  </si>
  <si>
    <t>Miles Evans</t>
  </si>
  <si>
    <t>E04237</t>
  </si>
  <si>
    <t>Leonardo Martin</t>
  </si>
  <si>
    <t>E03412</t>
  </si>
  <si>
    <t>Alice Soto</t>
  </si>
  <si>
    <t>E04254</t>
  </si>
  <si>
    <t>Audrey Smith</t>
  </si>
  <si>
    <t>E04270</t>
  </si>
  <si>
    <t>Eloise Griffin</t>
  </si>
  <si>
    <t>E03362</t>
  </si>
  <si>
    <t>Aurora Simmons</t>
  </si>
  <si>
    <t>E04250</t>
  </si>
  <si>
    <t>Josephine Richardson</t>
  </si>
  <si>
    <t>E03436</t>
  </si>
  <si>
    <t>Jaxon Powell</t>
  </si>
  <si>
    <t>E04309</t>
  </si>
  <si>
    <t>Piper Ramos</t>
  </si>
  <si>
    <t>E03368</t>
  </si>
  <si>
    <t>Avery Bailey</t>
  </si>
  <si>
    <t>E04256</t>
  </si>
  <si>
    <t>Maria Wilson</t>
  </si>
  <si>
    <t>E03374</t>
  </si>
  <si>
    <t>Nora Santiago</t>
  </si>
  <si>
    <t>E03372</t>
  </si>
  <si>
    <t>David Simmons</t>
  </si>
  <si>
    <t>E04259</t>
  </si>
  <si>
    <t>Ayla Daniels</t>
  </si>
  <si>
    <t>E03364</t>
  </si>
  <si>
    <t>Caroline Nelson</t>
  </si>
  <si>
    <t>E04277</t>
  </si>
  <si>
    <t>Claire Adams</t>
  </si>
  <si>
    <t>E03376</t>
  </si>
  <si>
    <t>Ivy Soto</t>
  </si>
  <si>
    <t>E04257</t>
  </si>
  <si>
    <t>Lucas Ramos</t>
  </si>
  <si>
    <t>E03384</t>
  </si>
  <si>
    <t>Xavier Perez</t>
  </si>
  <si>
    <t>E04242</t>
  </si>
  <si>
    <t>Aubrey Romero</t>
  </si>
  <si>
    <t>E03378</t>
  </si>
  <si>
    <t>Leo Herrera</t>
  </si>
  <si>
    <t>E04268</t>
  </si>
  <si>
    <t>Leo Fernandez</t>
  </si>
  <si>
    <t>E03382</t>
  </si>
  <si>
    <t>Silas Hunter</t>
  </si>
  <si>
    <t>E04264</t>
  </si>
  <si>
    <t>Lily Carter</t>
  </si>
  <si>
    <t>E04241</t>
  </si>
  <si>
    <t>Mateo Mendez</t>
  </si>
  <si>
    <t>E04284</t>
  </si>
  <si>
    <t>Mila Vasquez</t>
  </si>
  <si>
    <t>E03396</t>
  </si>
  <si>
    <t>Connor Joseph</t>
  </si>
  <si>
    <t>E04260</t>
  </si>
  <si>
    <t>Lincoln Reyes</t>
  </si>
  <si>
    <t>Seattle</t>
  </si>
  <si>
    <t>E03444</t>
  </si>
  <si>
    <t>Isaac Joseph</t>
  </si>
  <si>
    <t>E04266</t>
  </si>
  <si>
    <t>Hannah Mejia</t>
  </si>
  <si>
    <t>E03452</t>
  </si>
  <si>
    <t>Eli Jones</t>
  </si>
  <si>
    <t>E04263</t>
  </si>
  <si>
    <t>Jameson Alvarado</t>
  </si>
  <si>
    <t>E04262</t>
  </si>
  <si>
    <t>Genesis Hunter</t>
  </si>
  <si>
    <t>E04248</t>
  </si>
  <si>
    <t>Nolan Guzman</t>
  </si>
  <si>
    <t>E04285</t>
  </si>
  <si>
    <t>Everly Walker</t>
  </si>
  <si>
    <t>E03492</t>
  </si>
  <si>
    <t>Riley Ramirez</t>
  </si>
  <si>
    <t>E04296</t>
  </si>
  <si>
    <t>Daniel Dixon</t>
  </si>
  <si>
    <t>E04297</t>
  </si>
  <si>
    <t>Silas Rivera</t>
  </si>
  <si>
    <t>E03494</t>
  </si>
  <si>
    <t>Connor Bell</t>
  </si>
  <si>
    <t>E04292</t>
  </si>
  <si>
    <t>Lucas Thomas</t>
  </si>
  <si>
    <t>E04300</t>
  </si>
  <si>
    <t>Allison Roberts</t>
  </si>
  <si>
    <t>E04313</t>
  </si>
  <si>
    <t>Santiago f Brooks</t>
  </si>
  <si>
    <t>E03420</t>
  </si>
  <si>
    <t>Eliana Turner</t>
  </si>
  <si>
    <t>E04314</t>
  </si>
  <si>
    <t>Andrew Moore</t>
  </si>
  <si>
    <t>E04315</t>
  </si>
  <si>
    <t>Paisley Sanders</t>
  </si>
  <si>
    <t>E04316</t>
  </si>
  <si>
    <t>Isaac Sanders</t>
  </si>
  <si>
    <t>E04317</t>
  </si>
  <si>
    <t>Daniel Perry</t>
  </si>
  <si>
    <t>E04318</t>
  </si>
  <si>
    <t>James Castillo</t>
  </si>
  <si>
    <t>E04319</t>
  </si>
  <si>
    <t>Adrian Fernandez</t>
  </si>
  <si>
    <t>E04320</t>
  </si>
  <si>
    <t>Everleigh Washington</t>
  </si>
  <si>
    <t>E03392</t>
  </si>
  <si>
    <t>Madelyn Scott</t>
  </si>
  <si>
    <t>E04321</t>
  </si>
  <si>
    <t>Vivian Guzman</t>
  </si>
  <si>
    <t>E04322</t>
  </si>
  <si>
    <t>Jace Washington</t>
  </si>
  <si>
    <t>E04323</t>
  </si>
  <si>
    <t>Charles Henderson</t>
  </si>
  <si>
    <t>E03380</t>
  </si>
  <si>
    <t>Joseph Ruiz</t>
  </si>
  <si>
    <t>E04324</t>
  </si>
  <si>
    <t>Bella Powell</t>
  </si>
  <si>
    <t>E04325</t>
  </si>
  <si>
    <t>William Foster</t>
  </si>
  <si>
    <t>E04326</t>
  </si>
  <si>
    <t>Logan Rivera</t>
  </si>
  <si>
    <t>E04327</t>
  </si>
  <si>
    <t>Xavier Jackson</t>
  </si>
  <si>
    <t>E04328</t>
  </si>
  <si>
    <t>Ezekiel Bryant</t>
  </si>
  <si>
    <t>E04329</t>
  </si>
  <si>
    <t>Hunter Nunez</t>
  </si>
  <si>
    <t>E03356</t>
  </si>
  <si>
    <t>Aiden Bryant</t>
  </si>
  <si>
    <t>E04331</t>
  </si>
  <si>
    <t>Brooklyn Daniels</t>
  </si>
  <si>
    <t>E03348</t>
  </si>
  <si>
    <t>Asher Jackson</t>
  </si>
  <si>
    <t>E04332</t>
  </si>
  <si>
    <t>Anna Gutierrez</t>
  </si>
  <si>
    <t>E04333</t>
  </si>
  <si>
    <t>Wesley Gray</t>
  </si>
  <si>
    <t>E03340</t>
  </si>
  <si>
    <t>Thomas Padilla</t>
  </si>
  <si>
    <t>E04334</t>
  </si>
  <si>
    <t>Wesley Adams</t>
  </si>
  <si>
    <t>E04335</t>
  </si>
  <si>
    <t>Joshua Martin</t>
  </si>
  <si>
    <t>E03332</t>
  </si>
  <si>
    <t>Camila Silva</t>
  </si>
  <si>
    <t>E04336</t>
  </si>
  <si>
    <t>Hadley Guerrero</t>
  </si>
  <si>
    <t>E03328</t>
  </si>
  <si>
    <t>John Vega</t>
  </si>
  <si>
    <t>E04337</t>
  </si>
  <si>
    <t>William Phillips</t>
  </si>
  <si>
    <t>E03324</t>
  </si>
  <si>
    <t>David Owens</t>
  </si>
  <si>
    <t>E04339</t>
  </si>
  <si>
    <t>Leah Bryant</t>
  </si>
  <si>
    <t>E03316</t>
  </si>
  <si>
    <t>Dominic Guzman</t>
  </si>
  <si>
    <t>E04340</t>
  </si>
  <si>
    <t>Zoe Rodriguez</t>
  </si>
  <si>
    <t>E03312</t>
  </si>
  <si>
    <t>Victoria Johnson</t>
  </si>
  <si>
    <t>E04341</t>
  </si>
  <si>
    <t>Chloe Allen</t>
  </si>
  <si>
    <t>E04342</t>
  </si>
  <si>
    <t>Ava Ortiz</t>
  </si>
  <si>
    <t>E04343</t>
  </si>
  <si>
    <t>Peyton Garza</t>
  </si>
  <si>
    <t>E04344</t>
  </si>
  <si>
    <t>Caroline Herrera</t>
  </si>
  <si>
    <t>E03296</t>
  </si>
  <si>
    <t>Cameron Powell</t>
  </si>
  <si>
    <t>E03292</t>
  </si>
  <si>
    <t>Mason Watson</t>
  </si>
  <si>
    <t>E04346</t>
  </si>
  <si>
    <t>Robert Edwards</t>
  </si>
  <si>
    <t>E03288</t>
  </si>
  <si>
    <t>Eva Jenkins</t>
  </si>
  <si>
    <t>E04347</t>
  </si>
  <si>
    <t>Jack Brown</t>
  </si>
  <si>
    <t>E03284</t>
  </si>
  <si>
    <t>Zoe Sanchez</t>
  </si>
  <si>
    <t>E04348</t>
  </si>
  <si>
    <t>Abigail Mejia</t>
  </si>
  <si>
    <t>E03280</t>
  </si>
  <si>
    <t>Parker James</t>
  </si>
  <si>
    <t>E04349</t>
  </si>
  <si>
    <t>Eleanor Williams</t>
  </si>
  <si>
    <t>E03276</t>
  </si>
  <si>
    <t>Hadley Ford</t>
  </si>
  <si>
    <t>E04350</t>
  </si>
  <si>
    <t>Henry Alvarez</t>
  </si>
  <si>
    <t>E03272</t>
  </si>
  <si>
    <t>Axel Soto</t>
  </si>
  <si>
    <t>E04351</t>
  </si>
  <si>
    <t>Isaac Mitchell</t>
  </si>
  <si>
    <t>E04352</t>
  </si>
  <si>
    <t>Carter Reed</t>
  </si>
  <si>
    <t>E03264</t>
  </si>
  <si>
    <t>Benjamin Ramirez</t>
  </si>
  <si>
    <t>E04353</t>
  </si>
  <si>
    <t>Logan Mitchell</t>
  </si>
  <si>
    <t>E04354</t>
  </si>
  <si>
    <t>Dominic Thomas</t>
  </si>
  <si>
    <t>E03256</t>
  </si>
  <si>
    <t>Melody Grant</t>
  </si>
  <si>
    <t>E04355</t>
  </si>
  <si>
    <t>Kennedy Vargas</t>
  </si>
  <si>
    <t>E03252</t>
  </si>
  <si>
    <t>Sofia Fernandez</t>
  </si>
  <si>
    <t>E04356</t>
  </si>
  <si>
    <t>John Moore</t>
  </si>
  <si>
    <t>E03248</t>
  </si>
  <si>
    <t>Parker Avila</t>
  </si>
  <si>
    <t>E04357</t>
  </si>
  <si>
    <t>Stella Alexander</t>
  </si>
  <si>
    <t>E03244</t>
  </si>
  <si>
    <t>Cooper Mitchell</t>
  </si>
  <si>
    <t>E04358</t>
  </si>
  <si>
    <t>Gabriella Johnson</t>
  </si>
  <si>
    <t>E03240</t>
  </si>
  <si>
    <t>Athena Carrillo</t>
  </si>
  <si>
    <t>E04359</t>
  </si>
  <si>
    <t>Jeremiah Castillo</t>
  </si>
  <si>
    <t>E04360</t>
  </si>
  <si>
    <t>Madeline Coleman</t>
  </si>
  <si>
    <t>E03232</t>
  </si>
  <si>
    <t>Jack Alexander</t>
  </si>
  <si>
    <t>E04361</t>
  </si>
  <si>
    <t>Samantha Vargas</t>
  </si>
  <si>
    <t>E03228</t>
  </si>
  <si>
    <t>Ava Ayala</t>
  </si>
  <si>
    <t>E04362</t>
  </si>
  <si>
    <t>Hannah Martinez</t>
  </si>
  <si>
    <t>E03224</t>
  </si>
  <si>
    <t>Austin Edwards</t>
  </si>
  <si>
    <t>E04363</t>
  </si>
  <si>
    <t>Dylan Wilson</t>
  </si>
  <si>
    <t>E03220</t>
  </si>
  <si>
    <t>Vivian Espinoza</t>
  </si>
  <si>
    <t>E04364</t>
  </si>
  <si>
    <t>Natalia Diaz</t>
  </si>
  <si>
    <t>E03216</t>
  </si>
  <si>
    <t>Luna Sanders</t>
  </si>
  <si>
    <t>E04365</t>
  </si>
  <si>
    <t>Gabriel Joseph</t>
  </si>
  <si>
    <t>E03212</t>
  </si>
  <si>
    <t>Nathan Mendez</t>
  </si>
  <si>
    <t>E04366</t>
  </si>
  <si>
    <t>Nova Coleman</t>
  </si>
  <si>
    <t>E03208</t>
  </si>
  <si>
    <t>Nora Nelson</t>
  </si>
  <si>
    <t>E04367</t>
  </si>
  <si>
    <t>Liam Sanders</t>
  </si>
  <si>
    <t>E03204</t>
  </si>
  <si>
    <t>Scarlett Rodriguez</t>
  </si>
  <si>
    <t>E04368</t>
  </si>
  <si>
    <t>Anthony Carter</t>
  </si>
  <si>
    <t>E03200</t>
  </si>
  <si>
    <t>Connor Simmons</t>
  </si>
  <si>
    <t>E04369</t>
  </si>
  <si>
    <t>Nicholas Rivera</t>
  </si>
  <si>
    <t>E03196</t>
  </si>
  <si>
    <t>Maria Griffin</t>
  </si>
  <si>
    <t>E04370</t>
  </si>
  <si>
    <t>Alice Thompson</t>
  </si>
  <si>
    <t>E03192</t>
  </si>
  <si>
    <t>Riley Washington</t>
  </si>
  <si>
    <t>E04371</t>
  </si>
  <si>
    <t>Maverick Medina</t>
  </si>
  <si>
    <t>E03188</t>
  </si>
  <si>
    <t>Christian Medina</t>
  </si>
  <si>
    <t>E04372</t>
  </si>
  <si>
    <t>Austin Brown</t>
  </si>
  <si>
    <t>E03184</t>
  </si>
  <si>
    <t>Joshua Cortez</t>
  </si>
  <si>
    <t>E04373</t>
  </si>
  <si>
    <t>Roman King</t>
  </si>
  <si>
    <t>E03180</t>
  </si>
  <si>
    <t>Joshua Ramirez</t>
  </si>
  <si>
    <t>E04374</t>
  </si>
  <si>
    <t>Paisley Gomez</t>
  </si>
  <si>
    <t>E03176</t>
  </si>
  <si>
    <t>Christopher Vega</t>
  </si>
  <si>
    <t>E04375</t>
  </si>
  <si>
    <t>Mila Pena</t>
  </si>
  <si>
    <t>E03172</t>
  </si>
  <si>
    <t>Alice Young</t>
  </si>
  <si>
    <t>E04376</t>
  </si>
  <si>
    <t>Piper Richardson</t>
  </si>
  <si>
    <t>E03164</t>
  </si>
  <si>
    <t>Jameson Martin</t>
  </si>
  <si>
    <t>E04378</t>
  </si>
  <si>
    <t>Jose Molina</t>
  </si>
  <si>
    <t>E03160</t>
  </si>
  <si>
    <t>Kinsley Henry</t>
  </si>
  <si>
    <t>E04379</t>
  </si>
  <si>
    <t>Grace Campos</t>
  </si>
  <si>
    <t>E03156</t>
  </si>
  <si>
    <t>Emma Luna</t>
  </si>
  <si>
    <t>E04380</t>
  </si>
  <si>
    <t>Jack Edwards</t>
  </si>
  <si>
    <t>E04381</t>
  </si>
  <si>
    <t>Silas Chavez</t>
  </si>
  <si>
    <t>E03148</t>
  </si>
  <si>
    <t>Ian Cortez</t>
  </si>
  <si>
    <t>E04382</t>
  </si>
  <si>
    <t>Landon Lopez</t>
  </si>
  <si>
    <t>E03144</t>
  </si>
  <si>
    <t>Maverick Figueroa</t>
  </si>
  <si>
    <t>E04383</t>
  </si>
  <si>
    <t>Angel Powell</t>
  </si>
  <si>
    <t>E04384</t>
  </si>
  <si>
    <t>Zoey Jackson</t>
  </si>
  <si>
    <t>E03136</t>
  </si>
  <si>
    <t>Lincoln Ramos</t>
  </si>
  <si>
    <t>E04385</t>
  </si>
  <si>
    <t>Aaron Maldonado</t>
  </si>
  <si>
    <t>E03132</t>
  </si>
  <si>
    <t>Mila Soto</t>
  </si>
  <si>
    <t>E04386</t>
  </si>
  <si>
    <t>Julia Morris</t>
  </si>
  <si>
    <t>E03128</t>
  </si>
  <si>
    <t>Ivy Daniels</t>
  </si>
  <si>
    <t>E04387</t>
  </si>
  <si>
    <t>Skylar Carrillo</t>
  </si>
  <si>
    <t>E03124</t>
  </si>
  <si>
    <t>Xavier Davis</t>
  </si>
  <si>
    <t>E04388</t>
  </si>
  <si>
    <t>Hannah White</t>
  </si>
  <si>
    <t>E04389</t>
  </si>
  <si>
    <t>Lillian Gonzales</t>
  </si>
  <si>
    <t>E03116</t>
  </si>
  <si>
    <t>Peyton Harris</t>
  </si>
  <si>
    <t>E04390</t>
  </si>
  <si>
    <t>Adam Espinoza</t>
  </si>
  <si>
    <t>E03112</t>
  </si>
  <si>
    <t>Alexander Rivera</t>
  </si>
  <si>
    <t>E03108</t>
  </si>
  <si>
    <t>Genesis Navarro</t>
  </si>
  <si>
    <t>E04392</t>
  </si>
  <si>
    <t>Madeline Watson</t>
  </si>
  <si>
    <t>E03104</t>
  </si>
  <si>
    <t>Skylar Evans</t>
  </si>
  <si>
    <t>E04393</t>
  </si>
  <si>
    <t>Alice Lopez</t>
  </si>
  <si>
    <t>E03100</t>
  </si>
  <si>
    <t>Allison Ayala</t>
  </si>
  <si>
    <t>E04394</t>
  </si>
  <si>
    <t>Penelope Guerrero</t>
  </si>
  <si>
    <t>E03096</t>
  </si>
  <si>
    <t>Anthony Marquez</t>
  </si>
  <si>
    <t>E04395</t>
  </si>
  <si>
    <t>Eliana Allen</t>
  </si>
  <si>
    <t>E03092</t>
  </si>
  <si>
    <t>Melody Cooper</t>
  </si>
  <si>
    <t>E04396</t>
  </si>
  <si>
    <t>Eva Coleman</t>
  </si>
  <si>
    <t>E03088</t>
  </si>
  <si>
    <t>Henry Campos</t>
  </si>
  <si>
    <t>E04397</t>
  </si>
  <si>
    <t>E03084</t>
  </si>
  <si>
    <t>Paisley Hunter</t>
  </si>
  <si>
    <t>E04398</t>
  </si>
  <si>
    <t>Lily Pena</t>
  </si>
  <si>
    <t>E03080</t>
  </si>
  <si>
    <t>Leilani Baker</t>
  </si>
  <si>
    <t>E03076</t>
  </si>
  <si>
    <t>Kayden Ortega</t>
  </si>
  <si>
    <t>E04400</t>
  </si>
  <si>
    <t>Lucy Avila</t>
  </si>
  <si>
    <t>E03072</t>
  </si>
  <si>
    <t>Ezra Banks</t>
  </si>
  <si>
    <t>E04401</t>
  </si>
  <si>
    <t>Samantha Aguilar</t>
  </si>
  <si>
    <t>E03068</t>
  </si>
  <si>
    <t>Nova Williams</t>
  </si>
  <si>
    <t>E03064</t>
  </si>
  <si>
    <t>Allison Medina</t>
  </si>
  <si>
    <t>E04403</t>
  </si>
  <si>
    <t>Paisley Hall</t>
  </si>
  <si>
    <t>E03060</t>
  </si>
  <si>
    <t>Luca Nelson</t>
  </si>
  <si>
    <t>E04404</t>
  </si>
  <si>
    <t>Ezra Simmons</t>
  </si>
  <si>
    <t>E03056</t>
  </si>
  <si>
    <t>Henry Figueroa</t>
  </si>
  <si>
    <t>E03052</t>
  </si>
  <si>
    <t>Layla Scott</t>
  </si>
  <si>
    <t>E04406</t>
  </si>
  <si>
    <t>Isabella Bailey</t>
  </si>
  <si>
    <t>E03048</t>
  </si>
  <si>
    <t>Kayden Jordan</t>
  </si>
  <si>
    <t>E04407</t>
  </si>
  <si>
    <t>Liliana Soto</t>
  </si>
  <si>
    <t>E03044</t>
  </si>
  <si>
    <t>Gabriel Holmes</t>
  </si>
  <si>
    <t>E04408</t>
  </si>
  <si>
    <t>Dylan Campbell</t>
  </si>
  <si>
    <t>E03040</t>
  </si>
  <si>
    <t>Aiden Silva</t>
  </si>
  <si>
    <t>E03036</t>
  </si>
  <si>
    <t>Grayson James</t>
  </si>
  <si>
    <t>E04410</t>
  </si>
  <si>
    <t>Violet Hall</t>
  </si>
  <si>
    <t>E03032</t>
  </si>
  <si>
    <t>Jordan Phillips</t>
  </si>
  <si>
    <t>E04411</t>
  </si>
  <si>
    <t>Miles Salazar</t>
  </si>
  <si>
    <t>E03028</t>
  </si>
  <si>
    <t>Jaxson Wright</t>
  </si>
  <si>
    <t>E04412</t>
  </si>
  <si>
    <t>Andrew Holmes</t>
  </si>
  <si>
    <t>E03024</t>
  </si>
  <si>
    <t>Sarah Daniels</t>
  </si>
  <si>
    <t>E04413</t>
  </si>
  <si>
    <t>Mateo Williams</t>
  </si>
  <si>
    <t>E03020</t>
  </si>
  <si>
    <t>Axel Santos</t>
  </si>
  <si>
    <t>E04414</t>
  </si>
  <si>
    <t>Athena Jordan</t>
  </si>
  <si>
    <t>E03016</t>
  </si>
  <si>
    <t>Brooklyn Salazar</t>
  </si>
  <si>
    <t>E04415</t>
  </si>
  <si>
    <t>Dominic Scott</t>
  </si>
  <si>
    <t>E03008</t>
  </si>
  <si>
    <t>John Contreras</t>
  </si>
  <si>
    <t>E04417</t>
  </si>
  <si>
    <t>Lily Henderson</t>
  </si>
  <si>
    <t>E03004</t>
  </si>
  <si>
    <t>Chloe Salazar</t>
  </si>
  <si>
    <t>E04418</t>
  </si>
  <si>
    <t>Lucas Daniels</t>
  </si>
  <si>
    <t>E04419</t>
  </si>
  <si>
    <t>Ruby Washington</t>
  </si>
  <si>
    <t>E02996</t>
  </si>
  <si>
    <t>Claire Romero</t>
  </si>
  <si>
    <t>E02992</t>
  </si>
  <si>
    <t>Levi Mendez</t>
  </si>
  <si>
    <t>E02988</t>
  </si>
  <si>
    <t>Vivian Lewis</t>
  </si>
  <si>
    <t>E04422</t>
  </si>
  <si>
    <t>Jayden Jimenez</t>
  </si>
  <si>
    <t>E02984</t>
  </si>
  <si>
    <t>Dominic Parker</t>
  </si>
  <si>
    <t>E04423</t>
  </si>
  <si>
    <t>Roman Munoz</t>
  </si>
  <si>
    <t>E02980</t>
  </si>
  <si>
    <t>Scarlett Jenkins</t>
  </si>
  <si>
    <t>E04424</t>
  </si>
  <si>
    <t>Serenity Bailey</t>
  </si>
  <si>
    <t>E04425</t>
  </si>
  <si>
    <t>Charles Moore</t>
  </si>
  <si>
    <t>E02972</t>
  </si>
  <si>
    <t>Elias Alvarado</t>
  </si>
  <si>
    <t>E04426</t>
  </si>
  <si>
    <t>Ezra Ortiz</t>
  </si>
  <si>
    <t>E02968</t>
  </si>
  <si>
    <t>Madison Hunter</t>
  </si>
  <si>
    <t>E04427</t>
  </si>
  <si>
    <t>Genesis Banks</t>
  </si>
  <si>
    <t>E02964</t>
  </si>
  <si>
    <t>Cooper Valdez</t>
  </si>
  <si>
    <t>E04428</t>
  </si>
  <si>
    <t>Carter Ortiz</t>
  </si>
  <si>
    <t>E02960</t>
  </si>
  <si>
    <t>Jade Figueroa</t>
  </si>
  <si>
    <t>E02956</t>
  </si>
  <si>
    <t>Autumn Gonzales</t>
  </si>
  <si>
    <t>E04430</t>
  </si>
  <si>
    <t>Leah Patterson</t>
  </si>
  <si>
    <t>E04431</t>
  </si>
  <si>
    <t>Penelope Johnson</t>
  </si>
  <si>
    <t>E02948</t>
  </si>
  <si>
    <t>Alexander Jackson</t>
  </si>
  <si>
    <t>E04432</t>
  </si>
  <si>
    <t>Santiago f Gonzalez</t>
  </si>
  <si>
    <t>E02944</t>
  </si>
  <si>
    <t>Nora Nunez</t>
  </si>
  <si>
    <t>E04433</t>
  </si>
  <si>
    <t>Emilia Bailey</t>
  </si>
  <si>
    <t>E02940</t>
  </si>
  <si>
    <t>Dominic Clark</t>
  </si>
  <si>
    <t>E04434</t>
  </si>
  <si>
    <t>Theodore Marquez</t>
  </si>
  <si>
    <t>E02936</t>
  </si>
  <si>
    <t>Natalie Carter</t>
  </si>
  <si>
    <t>E04435</t>
  </si>
  <si>
    <t>Elijah Ramos</t>
  </si>
  <si>
    <t>E02932</t>
  </si>
  <si>
    <t>Hunter Ortiz</t>
  </si>
  <si>
    <t>E04436</t>
  </si>
  <si>
    <t>Ezekiel Jordan</t>
  </si>
  <si>
    <t>E02928</t>
  </si>
  <si>
    <t>Layla Torres</t>
  </si>
  <si>
    <t>E04437</t>
  </si>
  <si>
    <t>Axel Jordan</t>
  </si>
  <si>
    <t>E02924</t>
  </si>
  <si>
    <t>Wyatt Rojas</t>
  </si>
  <si>
    <t>E04438</t>
  </si>
  <si>
    <t>Samuel Vega</t>
  </si>
  <si>
    <t>E02920</t>
  </si>
  <si>
    <t>Ayla Brown</t>
  </si>
  <si>
    <t>E04439</t>
  </si>
  <si>
    <t>Alexander James</t>
  </si>
  <si>
    <t>E02916</t>
  </si>
  <si>
    <t>Samantha Adams</t>
  </si>
  <si>
    <t>E04440</t>
  </si>
  <si>
    <t>Riley Padilla</t>
  </si>
  <si>
    <t>E02912</t>
  </si>
  <si>
    <t>Easton Moore</t>
  </si>
  <si>
    <t>E04441</t>
  </si>
  <si>
    <t>William Watson</t>
  </si>
  <si>
    <t>E02908</t>
  </si>
  <si>
    <t>Lydia Morales</t>
  </si>
  <si>
    <t>E02904</t>
  </si>
  <si>
    <t>Alexander Morris</t>
  </si>
  <si>
    <t>E04443</t>
  </si>
  <si>
    <t>Grayson Cooper</t>
  </si>
  <si>
    <t>E02900</t>
  </si>
  <si>
    <t>Genesis Perry</t>
  </si>
  <si>
    <t>E04444</t>
  </si>
  <si>
    <t>Christian Sanders</t>
  </si>
  <si>
    <t>E02896</t>
  </si>
  <si>
    <t>Caleb Flores</t>
  </si>
  <si>
    <t>E02892</t>
  </si>
  <si>
    <t>Samuel Bailey</t>
  </si>
  <si>
    <t>E04446</t>
  </si>
  <si>
    <t>Genesis Woods</t>
  </si>
  <si>
    <t>E02888</t>
  </si>
  <si>
    <t>Emery Acosta</t>
  </si>
  <si>
    <t>E04447</t>
  </si>
  <si>
    <t>Ezra Wilson</t>
  </si>
  <si>
    <t>E04448</t>
  </si>
  <si>
    <t>David Barnes</t>
  </si>
  <si>
    <t>E02880</t>
  </si>
  <si>
    <t>Bella Lopez</t>
  </si>
  <si>
    <t>E04449</t>
  </si>
  <si>
    <t>Charles Diaz</t>
  </si>
  <si>
    <t>E02876</t>
  </si>
  <si>
    <t>Kennedy Foster</t>
  </si>
  <si>
    <t>E04450</t>
  </si>
  <si>
    <t>Aaron Garza</t>
  </si>
  <si>
    <t>E02872</t>
  </si>
  <si>
    <t>Elijah Henry</t>
  </si>
  <si>
    <t>E04451</t>
  </si>
  <si>
    <t>E02868</t>
  </si>
  <si>
    <t>Hailey Sanchez</t>
  </si>
  <si>
    <t>E02864</t>
  </si>
  <si>
    <t>Nora Brown</t>
  </si>
  <si>
    <t>E04453</t>
  </si>
  <si>
    <t>Ezekiel Reed</t>
  </si>
  <si>
    <t>E02860</t>
  </si>
  <si>
    <t>Eli Reed</t>
  </si>
  <si>
    <t>E04454</t>
  </si>
  <si>
    <t>Avery Grant</t>
  </si>
  <si>
    <t>E02856</t>
  </si>
  <si>
    <t>Aria Castro</t>
  </si>
  <si>
    <t>E04455</t>
  </si>
  <si>
    <t>Layla Salazar</t>
  </si>
  <si>
    <t>E04456</t>
  </si>
  <si>
    <t>Valentina Davis</t>
  </si>
  <si>
    <t>E02848</t>
  </si>
  <si>
    <t>Hazel Alvarez</t>
  </si>
  <si>
    <t>E04457</t>
  </si>
  <si>
    <t>Eleanor Delgado</t>
  </si>
  <si>
    <t>E02844</t>
  </si>
  <si>
    <t>Nova Herrera</t>
  </si>
  <si>
    <t>E04458</t>
  </si>
  <si>
    <t>Eva Figueroa</t>
  </si>
  <si>
    <t>E02840</t>
  </si>
  <si>
    <t>Sofia Parker</t>
  </si>
  <si>
    <t>E04459</t>
  </si>
  <si>
    <t>Everett Morales</t>
  </si>
  <si>
    <t>E02836</t>
  </si>
  <si>
    <t>Thomas Vazquez</t>
  </si>
  <si>
    <t>E04460</t>
  </si>
  <si>
    <t>Brooklyn Ruiz</t>
  </si>
  <si>
    <t>E02832</t>
  </si>
  <si>
    <t>Adrian Ruiz</t>
  </si>
  <si>
    <t>E04461</t>
  </si>
  <si>
    <t>Athena Vasquez</t>
  </si>
  <si>
    <t>E02828</t>
  </si>
  <si>
    <t>Peyton Owens</t>
  </si>
  <si>
    <t>E04462</t>
  </si>
  <si>
    <t>Elena Richardson</t>
  </si>
  <si>
    <t>E02824</t>
  </si>
  <si>
    <t>Hannah King</t>
  </si>
  <si>
    <t>E02820</t>
  </si>
  <si>
    <t>Mia Herrera</t>
  </si>
  <si>
    <t>E04464</t>
  </si>
  <si>
    <t>Elijah Coleman</t>
  </si>
  <si>
    <t>E02816</t>
  </si>
  <si>
    <t>Lucy Alexander</t>
  </si>
  <si>
    <t>E04465</t>
  </si>
  <si>
    <t>Lydia Williams</t>
  </si>
  <si>
    <t>E02812</t>
  </si>
  <si>
    <t>Logan Carrillo</t>
  </si>
  <si>
    <t>E04466</t>
  </si>
  <si>
    <t>Noah King</t>
  </si>
  <si>
    <t>E02808</t>
  </si>
  <si>
    <t>Everly Coleman</t>
  </si>
  <si>
    <t>E04467</t>
  </si>
  <si>
    <t>Sophie Owens</t>
  </si>
  <si>
    <t>E04468</t>
  </si>
  <si>
    <t>Liam Grant</t>
  </si>
  <si>
    <t>E02800</t>
  </si>
  <si>
    <t>Lyla Stewart</t>
  </si>
  <si>
    <t>E04469</t>
  </si>
  <si>
    <t>Dylan Dominguez</t>
  </si>
  <si>
    <t>E02796</t>
  </si>
  <si>
    <t>Axel Johnson</t>
  </si>
  <si>
    <t>E04470</t>
  </si>
  <si>
    <t>Jose Henderson</t>
  </si>
  <si>
    <t>E02792</t>
  </si>
  <si>
    <t>Eli Richardson</t>
  </si>
  <si>
    <t>E04471</t>
  </si>
  <si>
    <t>Joshua Juarez</t>
  </si>
  <si>
    <t>E02788</t>
  </si>
  <si>
    <t>Sarah Ayala</t>
  </si>
  <si>
    <t>E04473</t>
  </si>
  <si>
    <t>Parker Sandoval</t>
  </si>
  <si>
    <t>E02780</t>
  </si>
  <si>
    <t>Robert Wright</t>
  </si>
  <si>
    <t>E04474</t>
  </si>
  <si>
    <t>Anthony Rogers</t>
  </si>
  <si>
    <t>E02776</t>
  </si>
  <si>
    <t>Samuel Morales</t>
  </si>
  <si>
    <t>E04475</t>
  </si>
  <si>
    <t>Grayson Soto</t>
  </si>
  <si>
    <t>E02772</t>
  </si>
  <si>
    <t>Aria Roberts</t>
  </si>
  <si>
    <t>E04476</t>
  </si>
  <si>
    <t>Jade Acosta</t>
  </si>
  <si>
    <t>E02768</t>
  </si>
  <si>
    <t>Roman Martinez</t>
  </si>
  <si>
    <t>E04477</t>
  </si>
  <si>
    <t>Olivia Gray</t>
  </si>
  <si>
    <t>E02764</t>
  </si>
  <si>
    <t>John Soto</t>
  </si>
  <si>
    <t>E04478</t>
  </si>
  <si>
    <t>Mila Allen</t>
  </si>
  <si>
    <t>E02760</t>
  </si>
  <si>
    <t>Hazel Griffin</t>
  </si>
  <si>
    <t>E02756</t>
  </si>
  <si>
    <t>Carter Turner</t>
  </si>
  <si>
    <t>E04480</t>
  </si>
  <si>
    <t>Thomas Williams</t>
  </si>
  <si>
    <t>E04481</t>
  </si>
  <si>
    <t>Dylan Padilla</t>
  </si>
  <si>
    <t>E04482</t>
  </si>
  <si>
    <t>Brooks Stewart</t>
  </si>
  <si>
    <t>E02744</t>
  </si>
  <si>
    <t>Luke Sanchez</t>
  </si>
  <si>
    <t>E04483</t>
  </si>
  <si>
    <t>Lucy Figueroa</t>
  </si>
  <si>
    <t>E02736</t>
  </si>
  <si>
    <t>Cameron Young</t>
  </si>
  <si>
    <t>E04485</t>
  </si>
  <si>
    <t>E02732</t>
  </si>
  <si>
    <t>Jameson Nelson</t>
  </si>
  <si>
    <t>E04487</t>
  </si>
  <si>
    <t>Penelope Rodriguez</t>
  </si>
  <si>
    <t>E02724</t>
  </si>
  <si>
    <t>Josephine Salazar</t>
  </si>
  <si>
    <t>E04488</t>
  </si>
  <si>
    <t>Jose Brown</t>
  </si>
  <si>
    <t>E02720</t>
  </si>
  <si>
    <t>Emily Davis</t>
  </si>
  <si>
    <t>E04489</t>
  </si>
  <si>
    <t>Isabella Scott</t>
  </si>
  <si>
    <t>E02716</t>
  </si>
  <si>
    <t>Paisley Bryant</t>
  </si>
  <si>
    <t>E04490</t>
  </si>
  <si>
    <t>Eli Soto</t>
  </si>
  <si>
    <t>E02712</t>
  </si>
  <si>
    <t>E04491</t>
  </si>
  <si>
    <t>Julian Delgado</t>
  </si>
  <si>
    <t>E04492</t>
  </si>
  <si>
    <t>Everleigh Fernandez</t>
  </si>
  <si>
    <t>E02704</t>
  </si>
  <si>
    <t>Luke Wilson</t>
  </si>
  <si>
    <t>E04493</t>
  </si>
  <si>
    <t>Peyton Cruz</t>
  </si>
  <si>
    <t>E02700</t>
  </si>
  <si>
    <t>Anna Molina</t>
  </si>
  <si>
    <t>E04494</t>
  </si>
  <si>
    <t>Grayson Brown</t>
  </si>
  <si>
    <t>E02696</t>
  </si>
  <si>
    <t>Silas Estrada</t>
  </si>
  <si>
    <t>E04495</t>
  </si>
  <si>
    <t>Raelynn Rios</t>
  </si>
  <si>
    <t>E02692</t>
  </si>
  <si>
    <t>Jacob Davis</t>
  </si>
  <si>
    <t>E04496</t>
  </si>
  <si>
    <t>Joseph Martin</t>
  </si>
  <si>
    <t>E02688</t>
  </si>
  <si>
    <t>Wesley Young</t>
  </si>
  <si>
    <t>E02684</t>
  </si>
  <si>
    <t>Hadley Parker</t>
  </si>
  <si>
    <t>E04498</t>
  </si>
  <si>
    <t>Ian Miller</t>
  </si>
  <si>
    <t>E02680</t>
  </si>
  <si>
    <t>Scarlett Figueroa</t>
  </si>
  <si>
    <t>E04499</t>
  </si>
  <si>
    <t>Robert Alvarez</t>
  </si>
  <si>
    <t>E02676</t>
  </si>
  <si>
    <t>Naomi Coleman</t>
  </si>
  <si>
    <t>E04500</t>
  </si>
  <si>
    <t>Penelope Silva</t>
  </si>
  <si>
    <t>E02672</t>
  </si>
  <si>
    <t>Charlotte Baker</t>
  </si>
  <si>
    <t>E04501</t>
  </si>
  <si>
    <t>Jameson Allen</t>
  </si>
  <si>
    <t>E02668</t>
  </si>
  <si>
    <t>Andrew Thomas</t>
  </si>
  <si>
    <t>E04502</t>
  </si>
  <si>
    <t>Emma Brooks</t>
  </si>
  <si>
    <t>E02664</t>
  </si>
  <si>
    <t>Emma Hill</t>
  </si>
  <si>
    <t>E04503</t>
  </si>
  <si>
    <t>Hadley Contreras</t>
  </si>
  <si>
    <t>E02660</t>
  </si>
  <si>
    <t>Samantha Barnes</t>
  </si>
  <si>
    <t>E04504</t>
  </si>
  <si>
    <t>Samantha Chavez</t>
  </si>
  <si>
    <t>E02656</t>
  </si>
  <si>
    <t>Violet Garcia</t>
  </si>
  <si>
    <t>E04505</t>
  </si>
  <si>
    <t>Ella Hunter</t>
  </si>
  <si>
    <t>E02652</t>
  </si>
  <si>
    <t>Hailey Watson</t>
  </si>
  <si>
    <t>E04506</t>
  </si>
  <si>
    <t>Mila Roberts</t>
  </si>
  <si>
    <t>E02648</t>
  </si>
  <si>
    <t>Skylar Ayala</t>
  </si>
  <si>
    <t>E02644</t>
  </si>
  <si>
    <t>John Delgado</t>
  </si>
  <si>
    <t>E04508</t>
  </si>
  <si>
    <t>Grayson Walker</t>
  </si>
  <si>
    <t>E02640</t>
  </si>
  <si>
    <t>Elijah Watson</t>
  </si>
  <si>
    <t>E04509</t>
  </si>
  <si>
    <t>Emery Ford</t>
  </si>
  <si>
    <t>E02636</t>
  </si>
  <si>
    <t>Eva Alvarado</t>
  </si>
  <si>
    <t>E04510</t>
  </si>
  <si>
    <t>Jaxson Sandoval</t>
  </si>
  <si>
    <t>E02632</t>
  </si>
  <si>
    <t>Jonathan Chavez</t>
  </si>
  <si>
    <t>E04511</t>
  </si>
  <si>
    <t>Kai Flores</t>
  </si>
  <si>
    <t>E02628</t>
  </si>
  <si>
    <t>Caleb Nelson</t>
  </si>
  <si>
    <t>E02624</t>
  </si>
  <si>
    <t>Bella Holmes</t>
  </si>
  <si>
    <t>E04513</t>
  </si>
  <si>
    <t>Sophie Silva</t>
  </si>
  <si>
    <t>E02620</t>
  </si>
  <si>
    <t>Ethan Clark</t>
  </si>
  <si>
    <t>E04514</t>
  </si>
  <si>
    <t>Mateo Harris</t>
  </si>
  <si>
    <t>E02616</t>
  </si>
  <si>
    <t>Amelia Bell</t>
  </si>
  <si>
    <t>E04515</t>
  </si>
  <si>
    <t>Angel Delgado</t>
  </si>
  <si>
    <t>E02612</t>
  </si>
  <si>
    <t>Hazel Young</t>
  </si>
  <si>
    <t>E04516</t>
  </si>
  <si>
    <t>Luke Munoz</t>
  </si>
  <si>
    <t>E02608</t>
  </si>
  <si>
    <t>Autumn Reed</t>
  </si>
  <si>
    <t>E02604</t>
  </si>
  <si>
    <t>Mila Juarez</t>
  </si>
  <si>
    <t>E04518</t>
  </si>
  <si>
    <t>Nicholas Avila</t>
  </si>
  <si>
    <t>E02600</t>
  </si>
  <si>
    <t>Charlotte Ruiz</t>
  </si>
  <si>
    <t>E04519</t>
  </si>
  <si>
    <t>Christopher Butler</t>
  </si>
  <si>
    <t>E02596</t>
  </si>
  <si>
    <t>Everleigh White</t>
  </si>
  <si>
    <t>E04520</t>
  </si>
  <si>
    <t>Nicholas Brooks</t>
  </si>
  <si>
    <t>E02592</t>
  </si>
  <si>
    <t>Nevaeh James</t>
  </si>
  <si>
    <t>E04521</t>
  </si>
  <si>
    <t>Julia Sandoval</t>
  </si>
  <si>
    <t>E02588</t>
  </si>
  <si>
    <t>Emilia Rivera</t>
  </si>
  <si>
    <t>E04522</t>
  </si>
  <si>
    <t>Autumn Ortiz</t>
  </si>
  <si>
    <t>E02584</t>
  </si>
  <si>
    <t>Camila Watson</t>
  </si>
  <si>
    <t>E04523</t>
  </si>
  <si>
    <t>Ryan Holmes</t>
  </si>
  <si>
    <t>E02580</t>
  </si>
  <si>
    <t>Caroline Perez</t>
  </si>
  <si>
    <t>E04524</t>
  </si>
  <si>
    <t>Eloise Alexander</t>
  </si>
  <si>
    <t>E02576</t>
  </si>
  <si>
    <t>Everleigh Espinoza</t>
  </si>
  <si>
    <t>E02572</t>
  </si>
  <si>
    <t>Emma Perry</t>
  </si>
  <si>
    <t>E04526</t>
  </si>
  <si>
    <t>Skylar Bell</t>
  </si>
  <si>
    <t>E04527</t>
  </si>
  <si>
    <t>Nova Hill</t>
  </si>
  <si>
    <t>E02564</t>
  </si>
  <si>
    <t>Hudson Williams</t>
  </si>
  <si>
    <t>E04528</t>
  </si>
  <si>
    <t>Cora Evans</t>
  </si>
  <si>
    <t>E02560</t>
  </si>
  <si>
    <t>Scarlett Hill</t>
  </si>
  <si>
    <t>E04529</t>
  </si>
  <si>
    <t>Wesley Dominguez</t>
  </si>
  <si>
    <t>E02556</t>
  </si>
  <si>
    <t>Caroline Jenkins</t>
  </si>
  <si>
    <t>E04530</t>
  </si>
  <si>
    <t>Autumn Joseph</t>
  </si>
  <si>
    <t>E02552</t>
  </si>
  <si>
    <t>Addison Roberts</t>
  </si>
  <si>
    <t>E04531</t>
  </si>
  <si>
    <t>Isla Chavez</t>
  </si>
  <si>
    <t>E02548</t>
  </si>
  <si>
    <t>Daniel Richardson</t>
  </si>
  <si>
    <t>E02544</t>
  </si>
  <si>
    <t>Abigail Garza</t>
  </si>
  <si>
    <t>E04533</t>
  </si>
  <si>
    <t>Ethan Joseph</t>
  </si>
  <si>
    <t>E02540</t>
  </si>
  <si>
    <t>Emery Mitchell</t>
  </si>
  <si>
    <t>E04534</t>
  </si>
  <si>
    <t>Alexander Gonzales</t>
  </si>
  <si>
    <t>E02536</t>
  </si>
  <si>
    <t>Madeline Walker</t>
  </si>
  <si>
    <t>E04535</t>
  </si>
  <si>
    <t>Nolan Pena</t>
  </si>
  <si>
    <t>E02532</t>
  </si>
  <si>
    <t>Ava Garza</t>
  </si>
  <si>
    <t>E04536</t>
  </si>
  <si>
    <t>Gabriel Carter</t>
  </si>
  <si>
    <t>E02528</t>
  </si>
  <si>
    <t>Eva Estrada</t>
  </si>
  <si>
    <t>E04537</t>
  </si>
  <si>
    <t>Luna Taylor</t>
  </si>
  <si>
    <t>E02524</t>
  </si>
  <si>
    <t>Parker Allen</t>
  </si>
  <si>
    <t>E04538</t>
  </si>
  <si>
    <t>Logan Soto</t>
  </si>
  <si>
    <t>E02516</t>
  </si>
  <si>
    <t>Santiago f Gray</t>
  </si>
  <si>
    <t>E04540</t>
  </si>
  <si>
    <t>Jaxson Santiago</t>
  </si>
  <si>
    <t>E02512</t>
  </si>
  <si>
    <t>Charles Gonzalez</t>
  </si>
  <si>
    <t>E04541</t>
  </si>
  <si>
    <t>Clara Sanchez</t>
  </si>
  <si>
    <t>E02508</t>
  </si>
  <si>
    <t>Audrey Richardson</t>
  </si>
  <si>
    <t>E04542</t>
  </si>
  <si>
    <t>Elena Mendoza</t>
  </si>
  <si>
    <t>E02504</t>
  </si>
  <si>
    <t>Brooklyn Collins</t>
  </si>
  <si>
    <t>E04543</t>
  </si>
  <si>
    <t>Elena Patterson</t>
  </si>
  <si>
    <t>E02500</t>
  </si>
  <si>
    <t>Kinsley Collins</t>
  </si>
  <si>
    <t>E04544</t>
  </si>
  <si>
    <t>Austin Rojas</t>
  </si>
  <si>
    <t>E02496</t>
  </si>
  <si>
    <t>Lillian Romero</t>
  </si>
  <si>
    <t>E04545</t>
  </si>
  <si>
    <t>Gabriel Brooks</t>
  </si>
  <si>
    <t>E02492</t>
  </si>
  <si>
    <t>Cameron Evans</t>
  </si>
  <si>
    <t>E04546</t>
  </si>
  <si>
    <t>Ruby Medina</t>
  </si>
  <si>
    <t>E02488</t>
  </si>
  <si>
    <t>Piper Lewis</t>
  </si>
  <si>
    <t>E04547</t>
  </si>
  <si>
    <t>Kennedy Romero</t>
  </si>
  <si>
    <t>E02484</t>
  </si>
  <si>
    <t>Natalia Salazar</t>
  </si>
  <si>
    <t>E04548</t>
  </si>
  <si>
    <t>Wesley King</t>
  </si>
  <si>
    <t>E02480</t>
  </si>
  <si>
    <t>Joseph Vazquez</t>
  </si>
  <si>
    <t>E04549</t>
  </si>
  <si>
    <t>Peyton Vasquez</t>
  </si>
  <si>
    <t>E01239</t>
  </si>
  <si>
    <t>Easton Bailey</t>
  </si>
  <si>
    <t>E03568</t>
  </si>
  <si>
    <t>Jade Rojas</t>
  </si>
  <si>
    <t>E04219</t>
  </si>
  <si>
    <t>William Walker</t>
  </si>
  <si>
    <t>E04893</t>
  </si>
  <si>
    <t>Natalia Santos</t>
  </si>
  <si>
    <t>E02874</t>
  </si>
  <si>
    <t>Greyson Sanders</t>
  </si>
  <si>
    <t>E01863</t>
  </si>
  <si>
    <t>Claire Jones</t>
  </si>
  <si>
    <t>E04911</t>
  </si>
  <si>
    <t>Connor Walker</t>
  </si>
  <si>
    <t>E01165</t>
  </si>
  <si>
    <t>Jeremiah Hernandez</t>
  </si>
  <si>
    <t>E02935</t>
  </si>
  <si>
    <t>Amelia Salazar</t>
  </si>
  <si>
    <t>E03690</t>
  </si>
  <si>
    <t>Madeline Garcia</t>
  </si>
  <si>
    <t>E03121</t>
  </si>
  <si>
    <t>Carter Mejia</t>
  </si>
  <si>
    <t>E04636</t>
  </si>
  <si>
    <t>Andrew Coleman</t>
  </si>
  <si>
    <t>E04752</t>
  </si>
  <si>
    <t>Sadie Washington</t>
  </si>
  <si>
    <t>E02749</t>
  </si>
  <si>
    <t>Kinsley Dixon</t>
  </si>
  <si>
    <t>E04024</t>
  </si>
  <si>
    <t>Nathan Miller</t>
  </si>
  <si>
    <t>E02709</t>
  </si>
  <si>
    <t>Andrew Reed</t>
  </si>
  <si>
    <t>E01458</t>
  </si>
  <si>
    <t>Piper Patterson</t>
  </si>
  <si>
    <t>E03787</t>
  </si>
  <si>
    <t>Angel Stewart</t>
  </si>
  <si>
    <t>E03563</t>
  </si>
  <si>
    <t>Eliza Hernandez</t>
  </si>
  <si>
    <t>E02262</t>
  </si>
  <si>
    <t>Isla Guzman</t>
  </si>
  <si>
    <t>E04731</t>
  </si>
  <si>
    <t>Maverick Henry</t>
  </si>
  <si>
    <t>E01910</t>
  </si>
  <si>
    <t>Peyton Walker</t>
  </si>
  <si>
    <t>E03576</t>
  </si>
  <si>
    <t>Samantha Foster</t>
  </si>
  <si>
    <t>E02595</t>
  </si>
  <si>
    <t>Mason Jimenez</t>
  </si>
  <si>
    <t>E04110</t>
  </si>
  <si>
    <t>Vivian Hunter</t>
  </si>
  <si>
    <t>E02477</t>
  </si>
  <si>
    <t>Christopher Howard</t>
  </si>
  <si>
    <t>E02850</t>
  </si>
  <si>
    <t>Leonardo Dixon</t>
  </si>
  <si>
    <t>E03555</t>
  </si>
  <si>
    <t>Hannah Nelson</t>
  </si>
  <si>
    <t>E02614</t>
  </si>
  <si>
    <t>Avery Dominguez</t>
  </si>
  <si>
    <t>E03441</t>
  </si>
  <si>
    <t>Brooks Marquez</t>
  </si>
  <si>
    <t>E01372</t>
  </si>
  <si>
    <t>Penelope Jordan</t>
  </si>
  <si>
    <t>E01923</t>
  </si>
  <si>
    <t>Harper Alexander</t>
  </si>
  <si>
    <t>E02142</t>
  </si>
  <si>
    <t>Caleb Marquez</t>
  </si>
  <si>
    <t>E04704</t>
  </si>
  <si>
    <t>Jose Richardson</t>
  </si>
  <si>
    <t>E03141</t>
  </si>
  <si>
    <t>Riley Marquez</t>
  </si>
  <si>
    <t>E02467</t>
  </si>
  <si>
    <t>Jackson Perry</t>
  </si>
  <si>
    <t>E04937</t>
  </si>
  <si>
    <t>Bella Butler</t>
  </si>
  <si>
    <t>E01439</t>
  </si>
  <si>
    <t>Hudson Hill</t>
  </si>
  <si>
    <t>E04688</t>
  </si>
  <si>
    <t>Sebastian Rogers</t>
  </si>
  <si>
    <t>E02301</t>
  </si>
  <si>
    <t>Ian Flores</t>
  </si>
  <si>
    <t>E04624</t>
  </si>
  <si>
    <t>Brooklyn Reyes</t>
  </si>
  <si>
    <t>E03314</t>
  </si>
  <si>
    <t>Ella Jenkins</t>
  </si>
  <si>
    <t>E02569</t>
  </si>
  <si>
    <t>Samantha Woods</t>
  </si>
  <si>
    <t>E02521</t>
  </si>
  <si>
    <t>Emily Clark</t>
  </si>
  <si>
    <t>E04942</t>
  </si>
  <si>
    <t>Adam Nelson</t>
  </si>
  <si>
    <t>E03078</t>
  </si>
  <si>
    <t>Samantha Rogers</t>
  </si>
  <si>
    <t>E03948</t>
  </si>
  <si>
    <t>Ella White</t>
  </si>
  <si>
    <t>E04085</t>
  </si>
  <si>
    <t>Madeline Allen</t>
  </si>
  <si>
    <t>E03827</t>
  </si>
  <si>
    <t>Henry Green</t>
  </si>
  <si>
    <t>E03169</t>
  </si>
  <si>
    <t>Jade Hunter</t>
  </si>
  <si>
    <t>E02073</t>
  </si>
  <si>
    <t>Ezekiel Delgado</t>
  </si>
  <si>
    <t>E02798</t>
  </si>
  <si>
    <t>Naomi Washington</t>
  </si>
  <si>
    <t>E04855</t>
  </si>
  <si>
    <t>Everleigh Adams</t>
  </si>
  <si>
    <t>E03406</t>
  </si>
  <si>
    <t>Allison Daniels</t>
  </si>
  <si>
    <t>E02753</t>
  </si>
  <si>
    <t>Jaxson Coleman</t>
  </si>
  <si>
    <t>E03704</t>
  </si>
  <si>
    <t>Allison Espinoza</t>
  </si>
  <si>
    <t>E03661</t>
  </si>
  <si>
    <t>Leo Owens</t>
  </si>
  <si>
    <t>E04661</t>
  </si>
  <si>
    <t>Lucy Johnson</t>
  </si>
  <si>
    <t>E02094</t>
  </si>
  <si>
    <t>Lydia Espinoza</t>
  </si>
  <si>
    <t>E03869</t>
  </si>
  <si>
    <t>Luke Martin</t>
  </si>
  <si>
    <t>E02853</t>
  </si>
  <si>
    <t>Ian Barnes</t>
  </si>
  <si>
    <t>E04062</t>
  </si>
  <si>
    <t>Olivia Harris</t>
  </si>
  <si>
    <t>E03290</t>
  </si>
  <si>
    <t>Levi Moreno</t>
  </si>
  <si>
    <t>E02127</t>
  </si>
  <si>
    <t>Ruby Barnes</t>
  </si>
  <si>
    <t>E04232</t>
  </si>
  <si>
    <t>Julian Ross</t>
  </si>
  <si>
    <t>E04795</t>
  </si>
  <si>
    <t>Alexander Foster</t>
  </si>
  <si>
    <t>E01492</t>
  </si>
  <si>
    <t>Asher Morales</t>
  </si>
  <si>
    <t>E01808</t>
  </si>
  <si>
    <t>Caroline Santos</t>
  </si>
  <si>
    <t>E02778</t>
  </si>
  <si>
    <t>Ellie Guerrero</t>
  </si>
  <si>
    <t>E03511</t>
  </si>
  <si>
    <t>Logan Bryant</t>
  </si>
  <si>
    <t>E03685</t>
  </si>
  <si>
    <t>Kinsley Acosta</t>
  </si>
  <si>
    <t>E02154</t>
  </si>
  <si>
    <t>Sadie Patterson</t>
  </si>
  <si>
    <t>E04700</t>
  </si>
  <si>
    <t>Lincoln Hall</t>
  </si>
  <si>
    <t>E03847</t>
  </si>
  <si>
    <t>Liam Jordan</t>
  </si>
  <si>
    <t>E01325</t>
  </si>
  <si>
    <t>Isaac Stewart</t>
  </si>
  <si>
    <t>E04658</t>
  </si>
  <si>
    <t>Nevaeh Jones</t>
  </si>
  <si>
    <t>E04183</t>
  </si>
  <si>
    <t>Jack Maldonado</t>
  </si>
  <si>
    <t>E02181</t>
  </si>
  <si>
    <t>Luna Simmons</t>
  </si>
  <si>
    <t>E01858</t>
  </si>
  <si>
    <t>Caroline Alexander</t>
  </si>
  <si>
    <t>E03524</t>
  </si>
  <si>
    <t>Josephine Acosta</t>
  </si>
  <si>
    <t>E04156</t>
  </si>
  <si>
    <t>Jackson Jordan</t>
  </si>
  <si>
    <t>E04740</t>
  </si>
  <si>
    <t>Addison Perez</t>
  </si>
  <si>
    <t>E03546</t>
  </si>
  <si>
    <t>Jackson Navarro</t>
  </si>
  <si>
    <t>E04641</t>
  </si>
  <si>
    <t>Landon Brown</t>
  </si>
  <si>
    <t>E02239</t>
  </si>
  <si>
    <t>Dominic Baker</t>
  </si>
  <si>
    <t>E04863</t>
  </si>
  <si>
    <t>Hudson Thompson</t>
  </si>
  <si>
    <t>E02659</t>
  </si>
  <si>
    <t>Kinsley Vega</t>
  </si>
  <si>
    <t>E03039</t>
  </si>
  <si>
    <t>Nolan Molina</t>
  </si>
  <si>
    <t>E04675</t>
  </si>
  <si>
    <t>Cora Rivera</t>
  </si>
  <si>
    <t>E03733</t>
  </si>
  <si>
    <t>Isaac Woods</t>
  </si>
  <si>
    <t>E03013</t>
  </si>
  <si>
    <t>Natalia Owens</t>
  </si>
  <si>
    <t>E04564</t>
  </si>
  <si>
    <t>Riley Rojas</t>
  </si>
  <si>
    <t>E03283</t>
  </si>
  <si>
    <t>Penelope Griffin</t>
  </si>
  <si>
    <t>E02009</t>
  </si>
  <si>
    <t>Melody Valdez</t>
  </si>
  <si>
    <t>E02363</t>
  </si>
  <si>
    <t>Gianna Williams</t>
  </si>
  <si>
    <t>E03461</t>
  </si>
  <si>
    <t>Everleigh Nunez</t>
  </si>
  <si>
    <t>E04719</t>
  </si>
  <si>
    <t>Madeline Acosta</t>
  </si>
  <si>
    <t>E02208</t>
  </si>
  <si>
    <t>Thomas Aguilar</t>
  </si>
  <si>
    <t>E02707</t>
  </si>
  <si>
    <t>Ian Vargas</t>
  </si>
  <si>
    <t>E04055</t>
  </si>
  <si>
    <t>Layla Collins</t>
  </si>
  <si>
    <t>E02870</t>
  </si>
  <si>
    <t>Charles Robinson</t>
  </si>
  <si>
    <t>E01479</t>
  </si>
  <si>
    <t>Grace Carter</t>
  </si>
  <si>
    <t>E01386</t>
  </si>
  <si>
    <t>Hailey Foster</t>
  </si>
  <si>
    <t>E03504</t>
  </si>
  <si>
    <t>Vivian Barnes</t>
  </si>
  <si>
    <t>E03305</t>
  </si>
  <si>
    <t>Aiden Gonzales</t>
  </si>
  <si>
    <t>E02729</t>
  </si>
  <si>
    <t>Eva Rivera</t>
  </si>
  <si>
    <t>E02168</t>
  </si>
  <si>
    <t>Ian Gutierrez</t>
  </si>
  <si>
    <t>E06913</t>
  </si>
  <si>
    <t>Eva Garcia</t>
  </si>
  <si>
    <t>E06416</t>
  </si>
  <si>
    <t>Everleigh Simmons</t>
  </si>
  <si>
    <t>E06403</t>
  </si>
  <si>
    <t>Hazel Cortez</t>
  </si>
  <si>
    <t>E07015</t>
  </si>
  <si>
    <t>Benjamin Ford</t>
  </si>
  <si>
    <t>E07968</t>
  </si>
  <si>
    <t>Camila Cortez</t>
  </si>
  <si>
    <t>E06755</t>
  </si>
  <si>
    <t>Hannah Gomez</t>
  </si>
  <si>
    <t>E07229</t>
  </si>
  <si>
    <t>Lincoln Henderson</t>
  </si>
  <si>
    <t>E06778</t>
  </si>
  <si>
    <t>Emery Hunter</t>
  </si>
  <si>
    <t>E06528</t>
  </si>
  <si>
    <t>Madison Nelson</t>
  </si>
  <si>
    <t>E06025</t>
  </si>
  <si>
    <t>Jameson Foster</t>
  </si>
  <si>
    <t>E06833</t>
  </si>
  <si>
    <t>Willow Woods</t>
  </si>
  <si>
    <t>E07112</t>
  </si>
  <si>
    <t>Caroline Owens</t>
  </si>
  <si>
    <t>E07834</t>
  </si>
  <si>
    <t>Josiah Lewis</t>
  </si>
  <si>
    <t>E06630</t>
  </si>
  <si>
    <t>Penelope Coleman</t>
  </si>
  <si>
    <t>E07515</t>
  </si>
  <si>
    <t>Leilani Butler</t>
  </si>
  <si>
    <t>E06440</t>
  </si>
  <si>
    <t>Robert Vazquez</t>
  </si>
  <si>
    <t>E07526</t>
  </si>
  <si>
    <t>Alexander Bryant</t>
  </si>
  <si>
    <t>E06204</t>
  </si>
  <si>
    <t>Zoe Romero</t>
  </si>
  <si>
    <t>E06090</t>
  </si>
  <si>
    <t>Skylar Watson</t>
  </si>
  <si>
    <t>E07027</t>
  </si>
  <si>
    <t>David Herrera</t>
  </si>
  <si>
    <t>E06759</t>
  </si>
  <si>
    <t>Connor Grant</t>
  </si>
  <si>
    <t>E07711</t>
  </si>
  <si>
    <t>Matthew Howard</t>
  </si>
  <si>
    <t>E07450</t>
  </si>
  <si>
    <t>Camila Rogers</t>
  </si>
  <si>
    <t>E06606</t>
  </si>
  <si>
    <t>Isla Espinoza</t>
  </si>
  <si>
    <t>E07766</t>
  </si>
  <si>
    <t>Eliza Adams</t>
  </si>
  <si>
    <t>E06513</t>
  </si>
  <si>
    <t>Isabella Soto</t>
  </si>
  <si>
    <t>E06801</t>
  </si>
  <si>
    <t>Elias Figueroa</t>
  </si>
  <si>
    <t>E07070</t>
  </si>
  <si>
    <t>Levi Brown</t>
  </si>
  <si>
    <t>HR DASHBOARD</t>
  </si>
  <si>
    <t>Row Labels</t>
  </si>
  <si>
    <t>Grand Total</t>
  </si>
  <si>
    <t>Count of EEID</t>
  </si>
  <si>
    <t>Column Labels</t>
  </si>
  <si>
    <t>(All)</t>
  </si>
  <si>
    <t>Gender Count</t>
  </si>
  <si>
    <t>Sum of Annual Salary</t>
  </si>
  <si>
    <t>2017</t>
  </si>
  <si>
    <t>2018</t>
  </si>
  <si>
    <t>2019</t>
  </si>
  <si>
    <t>2020</t>
  </si>
  <si>
    <t>2021</t>
  </si>
  <si>
    <t>Age Group</t>
  </si>
  <si>
    <t>\</t>
  </si>
  <si>
    <t>&gt;60</t>
  </si>
  <si>
    <t>18-30</t>
  </si>
  <si>
    <t>31-45</t>
  </si>
  <si>
    <t>46-60</t>
  </si>
  <si>
    <t>Count of Age Group</t>
  </si>
  <si>
    <t>Average of Bonus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</si>
</sst>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 #,##0.00_-;_-* &quot;-&quot;??_-;_-@_-"/>
    <numFmt numFmtId="165" formatCode="&quot;$&quot;#,##0_);\(&quot;$&quot;#,##0\);&quot;$&quot;0_)"/>
    <numFmt numFmtId="166" formatCode="#,##0%_);\(#,##0%\);0%_)"/>
    <numFmt numFmtId="167" formatCode="0.00,,&quot;M&quot;"/>
    <numFmt numFmtId="168" formatCode="&quot;₹&quot;\ #,##0.00"/>
  </numFmts>
  <fonts count="8" x14ac:knownFonts="1">
    <font>
      <sz val="11"/>
      <color theme="1"/>
      <name val="Aptos Narrow"/>
      <family val="2"/>
      <scheme val="minor"/>
    </font>
    <font>
      <sz val="11"/>
      <color theme="1"/>
      <name val="Aptos Narrow"/>
      <family val="2"/>
      <scheme val="minor"/>
    </font>
    <font>
      <sz val="10"/>
      <name val="Arial"/>
      <family val="2"/>
    </font>
    <font>
      <sz val="14"/>
      <color theme="1"/>
      <name val="Aptos Narrow"/>
      <family val="2"/>
      <scheme val="minor"/>
    </font>
    <font>
      <sz val="11"/>
      <color rgb="FFFF0000"/>
      <name val="Aptos Narrow"/>
      <family val="2"/>
      <scheme val="minor"/>
    </font>
    <font>
      <b/>
      <sz val="11"/>
      <color rgb="FFFFFFFF"/>
      <name val="Aptos Narrow"/>
      <family val="2"/>
      <scheme val="minor"/>
    </font>
    <font>
      <sz val="48"/>
      <color theme="1"/>
      <name val="Aptos Narrow"/>
      <family val="2"/>
      <scheme val="minor"/>
    </font>
    <font>
      <b/>
      <u/>
      <sz val="48"/>
      <color theme="8" tint="-0.499984740745262"/>
      <name val="Aptos Narrow"/>
      <family val="2"/>
      <scheme val="minor"/>
    </font>
  </fonts>
  <fills count="6">
    <fill>
      <patternFill patternType="none"/>
    </fill>
    <fill>
      <patternFill patternType="gray125"/>
    </fill>
    <fill>
      <patternFill patternType="solid">
        <fgColor indexed="22"/>
      </patternFill>
    </fill>
    <fill>
      <patternFill patternType="solid">
        <fgColor indexed="26"/>
      </patternFill>
    </fill>
    <fill>
      <patternFill patternType="solid">
        <fgColor rgb="FF3DB182"/>
        <bgColor indexed="64"/>
      </patternFill>
    </fill>
    <fill>
      <patternFill patternType="solid">
        <fgColor theme="0" tint="-0.249977111117893"/>
        <bgColor indexed="64"/>
      </patternFill>
    </fill>
  </fills>
  <borders count="8">
    <border>
      <left/>
      <right/>
      <top/>
      <bottom/>
      <diagonal/>
    </border>
    <border>
      <left style="thin">
        <color theme="9"/>
      </left>
      <right style="medium">
        <color rgb="FFFFFFFF"/>
      </right>
      <top style="thin">
        <color theme="9"/>
      </top>
      <bottom/>
      <diagonal/>
    </border>
    <border>
      <left style="medium">
        <color rgb="FFFFFFFF"/>
      </left>
      <right style="medium">
        <color rgb="FFFFFFFF"/>
      </right>
      <top style="thin">
        <color theme="9"/>
      </top>
      <bottom/>
      <diagonal/>
    </border>
    <border>
      <left/>
      <right/>
      <top style="thin">
        <color theme="9"/>
      </top>
      <bottom/>
      <diagonal/>
    </border>
    <border>
      <left/>
      <right style="thin">
        <color theme="9"/>
      </right>
      <top style="thin">
        <color theme="9"/>
      </top>
      <bottom/>
      <diagonal/>
    </border>
    <border>
      <left style="medium">
        <color rgb="FFFFFFFF"/>
      </left>
      <right style="thin">
        <color theme="9"/>
      </right>
      <top style="thin">
        <color theme="9"/>
      </top>
      <bottom/>
      <diagonal/>
    </border>
    <border>
      <left/>
      <right/>
      <top style="thin">
        <color theme="9"/>
      </top>
      <bottom style="thin">
        <color theme="9"/>
      </bottom>
      <diagonal/>
    </border>
    <border>
      <left/>
      <right style="thin">
        <color theme="9"/>
      </right>
      <top style="thin">
        <color theme="9"/>
      </top>
      <bottom style="thin">
        <color theme="9"/>
      </bottom>
      <diagonal/>
    </border>
  </borders>
  <cellStyleXfs count="6">
    <xf numFmtId="0" fontId="0" fillId="0" borderId="0"/>
    <xf numFmtId="0" fontId="2" fillId="0" borderId="0"/>
    <xf numFmtId="0" fontId="2" fillId="2" borderId="0" applyNumberFormat="0" applyFont="0" applyBorder="0" applyAlignment="0" applyProtection="0"/>
    <xf numFmtId="0" fontId="2" fillId="3" borderId="0" applyNumberFormat="0" applyFont="0" applyBorder="0" applyAlignment="0" applyProtection="0"/>
    <xf numFmtId="164" fontId="1" fillId="0" borderId="0" applyFont="0" applyFill="0" applyBorder="0" applyAlignment="0" applyProtection="0"/>
    <xf numFmtId="0" fontId="3" fillId="0" borderId="0"/>
  </cellStyleXfs>
  <cellXfs count="23">
    <xf numFmtId="0" fontId="0" fillId="0" borderId="0" xfId="0"/>
    <xf numFmtId="0" fontId="0" fillId="0" borderId="3" xfId="0" applyBorder="1"/>
    <xf numFmtId="0" fontId="0" fillId="0" borderId="6" xfId="0" applyBorder="1"/>
    <xf numFmtId="14" fontId="0" fillId="0" borderId="3" xfId="0" applyNumberFormat="1" applyBorder="1"/>
    <xf numFmtId="165" fontId="0" fillId="0" borderId="3" xfId="0" applyNumberFormat="1" applyBorder="1"/>
    <xf numFmtId="166" fontId="0" fillId="0" borderId="3" xfId="0" applyNumberFormat="1" applyBorder="1"/>
    <xf numFmtId="14" fontId="0" fillId="0" borderId="4" xfId="0" applyNumberFormat="1" applyBorder="1"/>
    <xf numFmtId="14" fontId="0" fillId="0" borderId="6" xfId="0" applyNumberFormat="1" applyBorder="1"/>
    <xf numFmtId="165" fontId="0" fillId="0" borderId="6" xfId="0" applyNumberFormat="1" applyBorder="1"/>
    <xf numFmtId="14" fontId="0" fillId="0" borderId="7" xfId="0" applyNumberFormat="1" applyBorder="1"/>
    <xf numFmtId="0" fontId="4" fillId="0" borderId="3" xfId="0" applyFont="1" applyBorder="1"/>
    <xf numFmtId="167" fontId="0" fillId="0" borderId="0" xfId="0" applyNumberFormat="1"/>
    <xf numFmtId="0" fontId="5" fillId="4" borderId="2" xfId="0" applyFont="1" applyFill="1" applyBorder="1" applyAlignment="1">
      <alignment horizontal="left"/>
    </xf>
    <xf numFmtId="14" fontId="5" fillId="4" borderId="5" xfId="0" applyNumberFormat="1" applyFont="1" applyFill="1" applyBorder="1" applyAlignment="1">
      <alignment horizontal="left"/>
    </xf>
    <xf numFmtId="0" fontId="5" fillId="4" borderId="1" xfId="0" applyFont="1" applyFill="1" applyBorder="1" applyAlignment="1">
      <alignment horizontal="left"/>
    </xf>
    <xf numFmtId="0" fontId="0" fillId="0" borderId="0" xfId="0" pivotButton="1"/>
    <xf numFmtId="0" fontId="0" fillId="0" borderId="0" xfId="0" applyAlignment="1">
      <alignment horizontal="left"/>
    </xf>
    <xf numFmtId="165" fontId="0" fillId="0" borderId="0" xfId="0" applyNumberFormat="1"/>
    <xf numFmtId="168" fontId="0" fillId="0" borderId="0" xfId="0" applyNumberFormat="1"/>
    <xf numFmtId="0" fontId="0" fillId="5" borderId="0" xfId="0" applyFill="1"/>
    <xf numFmtId="166" fontId="0" fillId="0" borderId="0" xfId="0" applyNumberFormat="1"/>
    <xf numFmtId="0" fontId="7" fillId="5" borderId="0" xfId="0" applyFont="1" applyFill="1" applyAlignment="1">
      <alignment horizontal="center" vertical="top"/>
    </xf>
    <xf numFmtId="0" fontId="6" fillId="5" borderId="0" xfId="0" applyFont="1" applyFill="1" applyAlignment="1">
      <alignment horizontal="center" vertical="top"/>
    </xf>
  </cellXfs>
  <cellStyles count="6">
    <cellStyle name="Comma 2" xfId="4" xr:uid="{71EB78B0-C485-4011-9082-734560F361F5}"/>
    <cellStyle name="GreyOrWhite" xfId="2" xr:uid="{BE194749-B7F7-4385-AFD1-521E04725DC8}"/>
    <cellStyle name="Normal" xfId="0" builtinId="0"/>
    <cellStyle name="Normal 2" xfId="1" xr:uid="{C7DBB8C6-32A4-49FA-B738-A543634E17F7}"/>
    <cellStyle name="Normal 2 2" xfId="5" xr:uid="{918F25CA-BAB8-4A9E-B275-35F553E29299}"/>
    <cellStyle name="Yellow" xfId="3" xr:uid="{F99A35D4-6321-457F-B591-9CBAB4FB1DB7}"/>
  </cellStyles>
  <dxfs count="0"/>
  <tableStyles count="2" defaultTableStyle="TableStyleMedium2" defaultPivotStyle="PivotStyleLight16">
    <tableStyle name="Slicer Style 1" pivot="0" table="0" count="0" xr9:uid="{1E0E875D-0F87-4C49-846C-6C7959B7D317}"/>
    <tableStyle name="Slicer Style 2" pivot="0" table="0" count="0" xr9:uid="{60EA39B0-57FA-4E8D-91FF-8D2EC9FEE307}"/>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Pivot_table!$B$76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E7B-4F60-B644-9CC0CCCD189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E7B-4F60-B644-9CC0CCCD189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E7B-4F60-B644-9CC0CCCD189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E7B-4F60-B644-9CC0CCCD189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E7B-4F60-B644-9CC0CCCD189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E7B-4F60-B644-9CC0CCCD1899}"/>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E7B-4F60-B644-9CC0CCCD1899}"/>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E7B-4F60-B644-9CC0CCCD1899}"/>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7E7B-4F60-B644-9CC0CCCD1899}"/>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7E7B-4F60-B644-9CC0CCCD1899}"/>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E7B-4F60-B644-9CC0CCCD1899}"/>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7E7B-4F60-B644-9CC0CCCD1899}"/>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7E7B-4F60-B644-9CC0CCCD1899}"/>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7E7B-4F60-B644-9CC0CCCD1899}"/>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E7B-4F60-B644-9CC0CCCD1899}"/>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7E7B-4F60-B644-9CC0CCCD1899}"/>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7E7B-4F60-B644-9CC0CCCD1899}"/>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7E7B-4F60-B644-9CC0CCCD1899}"/>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7E7B-4F60-B644-9CC0CCCD1899}"/>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7E7B-4F60-B644-9CC0CCCD1899}"/>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7E7B-4F60-B644-9CC0CCCD1899}"/>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7E7B-4F60-B644-9CC0CCCD1899}"/>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7E7B-4F60-B644-9CC0CCCD1899}"/>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7E7B-4F60-B644-9CC0CCCD1899}"/>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7E7B-4F60-B644-9CC0CCCD1899}"/>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7E7B-4F60-B644-9CC0CCCD1899}"/>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7E7B-4F60-B644-9CC0CCCD1899}"/>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7E7B-4F60-B644-9CC0CCCD1899}"/>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7E7B-4F60-B644-9CC0CCCD1899}"/>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7E7B-4F60-B644-9CC0CCCD1899}"/>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7E7B-4F60-B644-9CC0CCCD1899}"/>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7E7B-4F60-B644-9CC0CCCD1899}"/>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7E7B-4F60-B644-9CC0CCCD1899}"/>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7E7B-4F60-B644-9CC0CCCD18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Pivot_table!$A$77:$A$111</c:f>
              <c:strCache>
                <c:ptCount val="34"/>
                <c:pt idx="0">
                  <c:v>Account Representative</c:v>
                </c:pt>
                <c:pt idx="1">
                  <c:v>Analyst</c:v>
                </c:pt>
                <c:pt idx="2">
                  <c:v>Analyst II</c:v>
                </c:pt>
                <c:pt idx="3">
                  <c:v>Automation Engineer</c:v>
                </c:pt>
                <c:pt idx="4">
                  <c:v>Business Partner</c:v>
                </c:pt>
                <c:pt idx="5">
                  <c:v>Cloud Infrastructure Architect</c:v>
                </c:pt>
                <c:pt idx="6">
                  <c:v>Computer Systems Manager</c:v>
                </c:pt>
                <c:pt idx="7">
                  <c:v>Controls Engineer</c:v>
                </c:pt>
                <c:pt idx="8">
                  <c:v>Development Engineer</c:v>
                </c:pt>
                <c:pt idx="9">
                  <c:v>Director</c:v>
                </c:pt>
                <c:pt idx="10">
                  <c:v>Engineering Manager</c:v>
                </c:pt>
                <c:pt idx="11">
                  <c:v>Enterprise Architect</c:v>
                </c:pt>
                <c:pt idx="12">
                  <c:v>Field Engineer</c:v>
                </c:pt>
                <c:pt idx="13">
                  <c:v>HRIS Analyst</c:v>
                </c:pt>
                <c:pt idx="14">
                  <c:v>IT Coordinator</c:v>
                </c:pt>
                <c:pt idx="15">
                  <c:v>IT Systems Architect</c:v>
                </c:pt>
                <c:pt idx="16">
                  <c:v>Manager</c:v>
                </c:pt>
                <c:pt idx="17">
                  <c:v>Manager  </c:v>
                </c:pt>
                <c:pt idx="18">
                  <c:v>Network Administrator</c:v>
                </c:pt>
                <c:pt idx="19">
                  <c:v>Network Architect</c:v>
                </c:pt>
                <c:pt idx="20">
                  <c:v>Network Engineer</c:v>
                </c:pt>
                <c:pt idx="21">
                  <c:v>Operations Engineer</c:v>
                </c:pt>
                <c:pt idx="22">
                  <c:v>Quality Engineer</c:v>
                </c:pt>
                <c:pt idx="23">
                  <c:v>Service Desk Analyst</c:v>
                </c:pt>
                <c:pt idx="24">
                  <c:v>Solutions Architect</c:v>
                </c:pt>
                <c:pt idx="25">
                  <c:v>Sr. Account Representative</c:v>
                </c:pt>
                <c:pt idx="26">
                  <c:v>Sr. Analyst</c:v>
                </c:pt>
                <c:pt idx="27">
                  <c:v>Sr. Business Partner</c:v>
                </c:pt>
                <c:pt idx="28">
                  <c:v>Sr. Manger</c:v>
                </c:pt>
                <c:pt idx="29">
                  <c:v>System Administrator </c:v>
                </c:pt>
                <c:pt idx="30">
                  <c:v>Systems Analyst</c:v>
                </c:pt>
                <c:pt idx="31">
                  <c:v>Technical Architect</c:v>
                </c:pt>
                <c:pt idx="32">
                  <c:v>Test Engineer</c:v>
                </c:pt>
                <c:pt idx="33">
                  <c:v>Vice President</c:v>
                </c:pt>
              </c:strCache>
            </c:strRef>
          </c:cat>
          <c:val>
            <c:numRef>
              <c:f>Pivot_table!$B$77:$B$111</c:f>
              <c:numCache>
                <c:formatCode>General</c:formatCode>
                <c:ptCount val="34"/>
                <c:pt idx="0">
                  <c:v>21</c:v>
                </c:pt>
                <c:pt idx="1">
                  <c:v>51</c:v>
                </c:pt>
                <c:pt idx="2">
                  <c:v>53</c:v>
                </c:pt>
                <c:pt idx="3">
                  <c:v>7</c:v>
                </c:pt>
                <c:pt idx="4">
                  <c:v>19</c:v>
                </c:pt>
                <c:pt idx="5">
                  <c:v>15</c:v>
                </c:pt>
                <c:pt idx="6">
                  <c:v>21</c:v>
                </c:pt>
                <c:pt idx="7">
                  <c:v>15</c:v>
                </c:pt>
                <c:pt idx="8">
                  <c:v>19</c:v>
                </c:pt>
                <c:pt idx="9">
                  <c:v>121</c:v>
                </c:pt>
                <c:pt idx="10">
                  <c:v>20</c:v>
                </c:pt>
                <c:pt idx="11">
                  <c:v>18</c:v>
                </c:pt>
                <c:pt idx="12">
                  <c:v>21</c:v>
                </c:pt>
                <c:pt idx="13">
                  <c:v>16</c:v>
                </c:pt>
                <c:pt idx="14">
                  <c:v>11</c:v>
                </c:pt>
                <c:pt idx="15">
                  <c:v>12</c:v>
                </c:pt>
                <c:pt idx="16">
                  <c:v>97</c:v>
                </c:pt>
                <c:pt idx="17">
                  <c:v>1</c:v>
                </c:pt>
                <c:pt idx="18">
                  <c:v>10</c:v>
                </c:pt>
                <c:pt idx="19">
                  <c:v>18</c:v>
                </c:pt>
                <c:pt idx="20">
                  <c:v>7</c:v>
                </c:pt>
                <c:pt idx="21">
                  <c:v>12</c:v>
                </c:pt>
                <c:pt idx="22">
                  <c:v>20</c:v>
                </c:pt>
                <c:pt idx="23">
                  <c:v>10</c:v>
                </c:pt>
                <c:pt idx="24">
                  <c:v>15</c:v>
                </c:pt>
                <c:pt idx="25">
                  <c:v>9</c:v>
                </c:pt>
                <c:pt idx="26">
                  <c:v>70</c:v>
                </c:pt>
                <c:pt idx="27">
                  <c:v>17</c:v>
                </c:pt>
                <c:pt idx="28">
                  <c:v>110</c:v>
                </c:pt>
                <c:pt idx="29">
                  <c:v>15</c:v>
                </c:pt>
                <c:pt idx="30">
                  <c:v>15</c:v>
                </c:pt>
                <c:pt idx="31">
                  <c:v>17</c:v>
                </c:pt>
                <c:pt idx="32">
                  <c:v>12</c:v>
                </c:pt>
                <c:pt idx="33">
                  <c:v>105</c:v>
                </c:pt>
              </c:numCache>
            </c:numRef>
          </c:val>
          <c:extLst>
            <c:ext xmlns:c16="http://schemas.microsoft.com/office/drawing/2014/chart" uri="{C3380CC4-5D6E-409C-BE32-E72D297353CC}">
              <c16:uniqueId val="{00000000-4135-4416-B6F9-E79426AFCAE1}"/>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[HR_Dashboard.xlsx]Pivot_table!PivotTable9</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Pivot_table!$B$158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B8C-45F8-ADD3-7E5D7EB4ACF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B8C-45F8-ADD3-7E5D7EB4ACF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B8C-45F8-ADD3-7E5D7EB4ACF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B8C-45F8-ADD3-7E5D7EB4ACF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B8C-45F8-ADD3-7E5D7EB4ACF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B8C-45F8-ADD3-7E5D7EB4ACF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B8C-45F8-ADD3-7E5D7EB4AC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Pivot_table!$A$159:$A$166</c:f>
              <c:strCache>
                <c:ptCount val="7"/>
                <c:pt idx="0">
                  <c:v>Accounting</c:v>
                </c:pt>
                <c:pt idx="1">
                  <c:v>Engineering</c:v>
                </c:pt>
                <c:pt idx="2">
                  <c:v>Finance</c:v>
                </c:pt>
                <c:pt idx="3">
                  <c:v>Human Resources</c:v>
                </c:pt>
                <c:pt idx="4">
                  <c:v>IT</c:v>
                </c:pt>
                <c:pt idx="5">
                  <c:v>Marketing</c:v>
                </c:pt>
                <c:pt idx="6">
                  <c:v>Sales</c:v>
                </c:pt>
              </c:strCache>
            </c:strRef>
          </c:cat>
          <c:val>
            <c:numRef>
              <c:f>Pivot_table!$B$159:$B$166</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321F-4295-A822-D0DA7D4DC97D}"/>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[HR_Dashboard.xlsx]Pivot_table!PivotTable10</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Pivot_table!$B$181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Pivot_table!$A$182:$A$189</c:f>
              <c:strCache>
                <c:ptCount val="7"/>
                <c:pt idx="0">
                  <c:v>Accounting</c:v>
                </c:pt>
                <c:pt idx="1">
                  <c:v>Engineering</c:v>
                </c:pt>
                <c:pt idx="2">
                  <c:v>Finance</c:v>
                </c:pt>
                <c:pt idx="3">
                  <c:v>Human Resources</c:v>
                </c:pt>
                <c:pt idx="4">
                  <c:v>IT</c:v>
                </c:pt>
                <c:pt idx="5">
                  <c:v>Marketing</c:v>
                </c:pt>
                <c:pt idx="6">
                  <c:v>Sales</c:v>
                </c:pt>
              </c:strCache>
            </c:strRef>
          </c:cat>
          <c:val>
            <c:numRef>
              <c:f>Pivot_table!$B$182:$B$189</c:f>
              <c:numCache>
                <c:formatCode>#,##0%_);\(#,##0%\);0%_)</c:formatCode>
                <c:ptCount val="7"/>
                <c:pt idx="0">
                  <c:v>0.10802083333333334</c:v>
                </c:pt>
                <c:pt idx="1">
                  <c:v>0.10727848101265829</c:v>
                </c:pt>
                <c:pt idx="2">
                  <c:v>0.10491666666666671</c:v>
                </c:pt>
                <c:pt idx="3">
                  <c:v>0.10400000000000001</c:v>
                </c:pt>
                <c:pt idx="4">
                  <c:v>0.10908713692946066</c:v>
                </c:pt>
                <c:pt idx="5">
                  <c:v>0.11250000000000006</c:v>
                </c:pt>
                <c:pt idx="6">
                  <c:v>0.11164285714285721</c:v>
                </c:pt>
              </c:numCache>
            </c:numRef>
          </c:val>
          <c:extLst>
            <c:ext xmlns:c16="http://schemas.microsoft.com/office/drawing/2014/chart" uri="{C3380CC4-5D6E-409C-BE32-E72D297353CC}">
              <c16:uniqueId val="{00000000-1490-4652-9D38-D198A00BC847}"/>
            </c:ext>
          </c:extLst>
        </c:ser>
        <c:dLbls>
          <c:showLegendKey val="0"/>
          <c:showVal val="1"/>
          <c:showCatName val="0"/>
          <c:showSerName val="0"/>
          <c:showPercent val="0"/>
          <c:showBubbleSize val="0"/>
        </c:dLbls>
        <c:gapWidth val="75"/>
        <c:axId val="1642014192"/>
        <c:axId val="1642006032"/>
      </c:barChart>
      <c:catAx>
        <c:axId val="16420141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2006032"/>
        <c:crosses val="autoZero"/>
        <c:auto val="1"/>
        <c:lblAlgn val="ctr"/>
        <c:lblOffset val="100"/>
        <c:noMultiLvlLbl val="0"/>
      </c:catAx>
      <c:valAx>
        <c:axId val="1642006032"/>
        <c:scaling>
          <c:orientation val="minMax"/>
        </c:scaling>
        <c:delete val="0"/>
        <c:axPos val="b"/>
        <c:numFmt formatCode="#,##0%_);\(#,##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2014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[HR_Dashboard.xlsx]Pivot_table!PivotTable12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Pivot_table!$B$200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Pivot_table!$A$201:$A$203</c:f>
              <c:strCache>
                <c:ptCount val="2"/>
                <c:pt idx="0">
                  <c:v>Female</c:v>
                </c:pt>
                <c:pt idx="1">
                  <c:v>Male</c:v>
                </c:pt>
              </c:strCache>
            </c:strRef>
          </c:cat>
          <c:val>
            <c:numRef>
              <c:f>Pivot_table!$B$201:$B$203</c:f>
              <c:numCache>
                <c:formatCode>#,##0%_);\(#,##0%\);0%_)</c:formatCode>
                <c:ptCount val="2"/>
                <c:pt idx="0">
                  <c:v>0.10750965250965239</c:v>
                </c:pt>
                <c:pt idx="1">
                  <c:v>0.10921161825726146</c:v>
                </c:pt>
              </c:numCache>
            </c:numRef>
          </c:val>
          <c:extLst>
            <c:ext xmlns:c16="http://schemas.microsoft.com/office/drawing/2014/chart" uri="{C3380CC4-5D6E-409C-BE32-E72D297353CC}">
              <c16:uniqueId val="{00000000-50C0-4C42-8B30-F9135B5884B9}"/>
            </c:ext>
          </c:extLst>
        </c:ser>
        <c:dLbls>
          <c:dLblPos val="inEnd"/>
          <c:showLegendKey val="0"/>
          <c:showVal val="1"/>
          <c:showCatName val="0"/>
          <c:showSerName val="0"/>
          <c:showPercent val="0"/>
          <c:showBubbleSize val="0"/>
        </c:dLbls>
        <c:gapWidth val="100"/>
        <c:axId val="1468656320"/>
        <c:axId val="1468643360"/>
      </c:barChart>
      <c:catAx>
        <c:axId val="14686563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8643360"/>
        <c:crosses val="autoZero"/>
        <c:auto val="1"/>
        <c:lblAlgn val="ctr"/>
        <c:lblOffset val="100"/>
        <c:noMultiLvlLbl val="0"/>
      </c:catAx>
      <c:valAx>
        <c:axId val="1468643360"/>
        <c:scaling>
          <c:orientation val="minMax"/>
        </c:scaling>
        <c:delete val="0"/>
        <c:axPos val="b"/>
        <c:majorGridlines>
          <c:spPr>
            <a:ln w="9525" cap="flat" cmpd="sng" algn="ctr">
              <a:solidFill>
                <a:schemeClr val="lt1">
                  <a:lumMod val="95000"/>
                  <a:alpha val="10000"/>
                </a:schemeClr>
              </a:solidFill>
              <a:round/>
            </a:ln>
            <a:effectLst/>
          </c:spPr>
        </c:majorGridlines>
        <c:numFmt formatCode="#,##0%_);\(#,##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8656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[HR_Dashboard.xlsx]Pivot_table!PivotTable11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Pivot_table!$B$193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Pivot_table!$A$194:$A$198</c:f>
              <c:strCache>
                <c:ptCount val="4"/>
                <c:pt idx="0">
                  <c:v>Corporate</c:v>
                </c:pt>
                <c:pt idx="1">
                  <c:v>Manufacturing</c:v>
                </c:pt>
                <c:pt idx="2">
                  <c:v>Research &amp; Development</c:v>
                </c:pt>
                <c:pt idx="3">
                  <c:v>Speciality Products</c:v>
                </c:pt>
              </c:strCache>
            </c:strRef>
          </c:cat>
          <c:val>
            <c:numRef>
              <c:f>Pivot_table!$B$194:$B$198</c:f>
              <c:numCache>
                <c:formatCode>#,##0%_);\(#,##0%\);0%_)</c:formatCode>
                <c:ptCount val="4"/>
                <c:pt idx="0">
                  <c:v>0.11000000000000014</c:v>
                </c:pt>
                <c:pt idx="1">
                  <c:v>0.11007434944237923</c:v>
                </c:pt>
                <c:pt idx="2">
                  <c:v>0.10606986899563323</c:v>
                </c:pt>
                <c:pt idx="3">
                  <c:v>0.10701886792452839</c:v>
                </c:pt>
              </c:numCache>
            </c:numRef>
          </c:val>
          <c:extLst>
            <c:ext xmlns:c16="http://schemas.microsoft.com/office/drawing/2014/chart" uri="{C3380CC4-5D6E-409C-BE32-E72D297353CC}">
              <c16:uniqueId val="{00000000-0139-46CA-9A0F-C1ED6A91619E}"/>
            </c:ext>
          </c:extLst>
        </c:ser>
        <c:dLbls>
          <c:showLegendKey val="0"/>
          <c:showVal val="0"/>
          <c:showCatName val="0"/>
          <c:showSerName val="0"/>
          <c:showPercent val="0"/>
          <c:showBubbleSize val="0"/>
        </c:dLbls>
        <c:gapWidth val="115"/>
        <c:overlap val="-20"/>
        <c:axId val="1642060752"/>
        <c:axId val="1642058352"/>
      </c:barChart>
      <c:catAx>
        <c:axId val="16420607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2058352"/>
        <c:crosses val="autoZero"/>
        <c:auto val="1"/>
        <c:lblAlgn val="ctr"/>
        <c:lblOffset val="100"/>
        <c:noMultiLvlLbl val="0"/>
      </c:catAx>
      <c:valAx>
        <c:axId val="1642058352"/>
        <c:scaling>
          <c:orientation val="minMax"/>
        </c:scaling>
        <c:delete val="0"/>
        <c:axPos val="b"/>
        <c:majorGridlines>
          <c:spPr>
            <a:ln w="9525" cap="flat" cmpd="sng" algn="ctr">
              <a:solidFill>
                <a:schemeClr val="lt1">
                  <a:lumMod val="95000"/>
                  <a:alpha val="10000"/>
                </a:schemeClr>
              </a:solidFill>
              <a:round/>
            </a:ln>
            <a:effectLst/>
          </c:spPr>
        </c:majorGridlines>
        <c:numFmt formatCode="#,##0%_);\(#,##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206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MF Ratio</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Pivot_table!$A$5:$A$9</c:f>
              <c:strCache>
                <c:ptCount val="4"/>
                <c:pt idx="0">
                  <c:v>Corporate</c:v>
                </c:pt>
                <c:pt idx="1">
                  <c:v>Manufacturing</c:v>
                </c:pt>
                <c:pt idx="2">
                  <c:v>Research &amp; Development</c:v>
                </c:pt>
                <c:pt idx="3">
                  <c:v>Speciality Products</c:v>
                </c:pt>
              </c:strCache>
            </c:strRef>
          </c:cat>
          <c:val>
            <c:numRef>
              <c:f>Pivot_table!$B$5:$B$9</c:f>
              <c:numCache>
                <c:formatCode>General</c:formatCode>
                <c:ptCount val="4"/>
                <c:pt idx="0">
                  <c:v>117</c:v>
                </c:pt>
                <c:pt idx="1">
                  <c:v>148</c:v>
                </c:pt>
                <c:pt idx="2">
                  <c:v>115</c:v>
                </c:pt>
                <c:pt idx="3">
                  <c:v>138</c:v>
                </c:pt>
              </c:numCache>
            </c:numRef>
          </c:val>
          <c:extLst>
            <c:ext xmlns:c16="http://schemas.microsoft.com/office/drawing/2014/chart" uri="{C3380CC4-5D6E-409C-BE32-E72D297353CC}">
              <c16:uniqueId val="{00000000-93F8-40EF-A3AA-760BE712C23F}"/>
            </c:ext>
          </c:extLst>
        </c:ser>
        <c:ser>
          <c:idx val="1"/>
          <c:order val="1"/>
          <c:tx>
            <c:strRef>
              <c:f>Pivot_table!$C$3:$C$4</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Pivot_table!$A$5:$A$9</c:f>
              <c:strCache>
                <c:ptCount val="4"/>
                <c:pt idx="0">
                  <c:v>Corporate</c:v>
                </c:pt>
                <c:pt idx="1">
                  <c:v>Manufacturing</c:v>
                </c:pt>
                <c:pt idx="2">
                  <c:v>Research &amp; Development</c:v>
                </c:pt>
                <c:pt idx="3">
                  <c:v>Speciality Products</c:v>
                </c:pt>
              </c:strCache>
            </c:strRef>
          </c:cat>
          <c:val>
            <c:numRef>
              <c:f>Pivot_table!$C$5:$C$9</c:f>
              <c:numCache>
                <c:formatCode>General</c:formatCode>
                <c:ptCount val="4"/>
                <c:pt idx="0">
                  <c:v>120</c:v>
                </c:pt>
                <c:pt idx="1">
                  <c:v>121</c:v>
                </c:pt>
                <c:pt idx="2">
                  <c:v>114</c:v>
                </c:pt>
                <c:pt idx="3">
                  <c:v>127</c:v>
                </c:pt>
              </c:numCache>
            </c:numRef>
          </c:val>
          <c:extLst>
            <c:ext xmlns:c16="http://schemas.microsoft.com/office/drawing/2014/chart" uri="{C3380CC4-5D6E-409C-BE32-E72D297353CC}">
              <c16:uniqueId val="{00000004-181C-43F1-A473-9A9ECD6ADA35}"/>
            </c:ext>
          </c:extLst>
        </c:ser>
        <c:dLbls>
          <c:dLblPos val="outEnd"/>
          <c:showLegendKey val="0"/>
          <c:showVal val="1"/>
          <c:showCatName val="0"/>
          <c:showSerName val="0"/>
          <c:showPercent val="0"/>
          <c:showBubbleSize val="0"/>
        </c:dLbls>
        <c:gapWidth val="100"/>
        <c:axId val="703653807"/>
        <c:axId val="703652847"/>
      </c:barChart>
      <c:catAx>
        <c:axId val="7036538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3652847"/>
        <c:crosses val="autoZero"/>
        <c:auto val="1"/>
        <c:lblAlgn val="ctr"/>
        <c:lblOffset val="100"/>
        <c:noMultiLvlLbl val="0"/>
      </c:catAx>
      <c:valAx>
        <c:axId val="7036528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36538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C00000"/>
      </a:solidFill>
    </a:ln>
    <a:effectLst/>
  </c:spPr>
  <c:txPr>
    <a:bodyPr rot="540000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[HR_Dashboard.xlsx]Pivot_table!PivotTable2</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Amount Dept_wise</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Pivot_table!$A$13:$A$17</c:f>
              <c:strCache>
                <c:ptCount val="4"/>
                <c:pt idx="0">
                  <c:v>Corporate</c:v>
                </c:pt>
                <c:pt idx="1">
                  <c:v>Manufacturing</c:v>
                </c:pt>
                <c:pt idx="2">
                  <c:v>Research &amp; Development</c:v>
                </c:pt>
                <c:pt idx="3">
                  <c:v>Speciality Products</c:v>
                </c:pt>
              </c:strCache>
            </c:strRef>
          </c:cat>
          <c:val>
            <c:numRef>
              <c:f>Pivot_table!$B$13:$B$17</c:f>
              <c:numCache>
                <c:formatCode>"$"#,##0_);\("$"#,##0\);"$"0_)</c:formatCode>
                <c:ptCount val="4"/>
                <c:pt idx="0">
                  <c:v>28485100</c:v>
                </c:pt>
                <c:pt idx="1">
                  <c:v>27857410</c:v>
                </c:pt>
                <c:pt idx="2">
                  <c:v>25726958</c:v>
                </c:pt>
                <c:pt idx="3">
                  <c:v>30950941</c:v>
                </c:pt>
              </c:numCache>
            </c:numRef>
          </c:val>
          <c:extLst>
            <c:ext xmlns:c16="http://schemas.microsoft.com/office/drawing/2014/chart" uri="{C3380CC4-5D6E-409C-BE32-E72D297353CC}">
              <c16:uniqueId val="{00000002-FE6D-476F-85FC-67821B1E0546}"/>
            </c:ext>
          </c:extLst>
        </c:ser>
        <c:dLbls>
          <c:dLblPos val="inEnd"/>
          <c:showLegendKey val="0"/>
          <c:showVal val="1"/>
          <c:showCatName val="0"/>
          <c:showSerName val="0"/>
          <c:showPercent val="0"/>
          <c:showBubbleSize val="0"/>
        </c:dLbls>
        <c:gapWidth val="115"/>
        <c:overlap val="-20"/>
        <c:axId val="930914128"/>
        <c:axId val="930914608"/>
      </c:barChart>
      <c:catAx>
        <c:axId val="9309141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0914608"/>
        <c:crosses val="autoZero"/>
        <c:auto val="1"/>
        <c:lblAlgn val="ctr"/>
        <c:lblOffset val="100"/>
        <c:noMultiLvlLbl val="0"/>
      </c:catAx>
      <c:valAx>
        <c:axId val="930914608"/>
        <c:scaling>
          <c:orientation val="minMax"/>
        </c:scaling>
        <c:delete val="0"/>
        <c:axPos val="b"/>
        <c:majorGridlines>
          <c:spPr>
            <a:ln w="9525" cap="flat" cmpd="sng" algn="ctr">
              <a:solidFill>
                <a:schemeClr val="lt1">
                  <a:lumMod val="95000"/>
                  <a:alpha val="10000"/>
                </a:schemeClr>
              </a:solidFill>
              <a:round/>
            </a:ln>
            <a:effectLst/>
          </c:spPr>
        </c:majorGridlines>
        <c:numFmt formatCode="&quot;$&quot;#,##0_);\(&quot;$&quot;#,##0\);&quot;$&quot;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09141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[HR_Dashboard.xlsx]Pivot_table!PivotTable3</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Hiring Year_Wise  in Dept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1"/>
          <c:showCatName val="0"/>
          <c:showSerName val="0"/>
          <c:showPercent val="0"/>
          <c:showBubbleSize val="0"/>
          <c:extLst>
            <c:ext xmlns:c15="http://schemas.microsoft.com/office/drawing/2012/chart" uri="{CE6537A1-D6FC-4f65-9D91-7224C49458BB}"/>
          </c:extLst>
        </c:dLbl>
      </c:pivotFmt>
      <c:pivotFmt>
        <c:idx val="26"/>
        <c:dLbl>
          <c:idx val="0"/>
          <c:showLegendKey val="0"/>
          <c:showVal val="1"/>
          <c:showCatName val="0"/>
          <c:showSerName val="0"/>
          <c:showPercent val="0"/>
          <c:showBubbleSize val="0"/>
          <c:extLst>
            <c:ext xmlns:c15="http://schemas.microsoft.com/office/drawing/2012/chart" uri="{CE6537A1-D6FC-4f65-9D91-7224C49458BB}"/>
          </c:extLst>
        </c:dLbl>
      </c:pivotFmt>
      <c:pivotFmt>
        <c:idx val="27"/>
        <c:dLbl>
          <c:idx val="0"/>
          <c:showLegendKey val="0"/>
          <c:showVal val="1"/>
          <c:showCatName val="0"/>
          <c:showSerName val="0"/>
          <c:showPercent val="0"/>
          <c:showBubbleSize val="0"/>
          <c:extLst>
            <c:ext xmlns:c15="http://schemas.microsoft.com/office/drawing/2012/chart" uri="{CE6537A1-D6FC-4f65-9D91-7224C49458BB}"/>
          </c:extLst>
        </c:dLbl>
      </c:pivotFmt>
      <c:pivotFmt>
        <c:idx val="28"/>
        <c:dLbl>
          <c:idx val="0"/>
          <c:showLegendKey val="0"/>
          <c:showVal val="1"/>
          <c:showCatName val="0"/>
          <c:showSerName val="0"/>
          <c:showPercent val="0"/>
          <c:showBubbleSize val="0"/>
          <c:extLst>
            <c:ext xmlns:c15="http://schemas.microsoft.com/office/drawing/2012/chart" uri="{CE6537A1-D6FC-4f65-9D91-7224C49458BB}"/>
          </c:extLst>
        </c:dLbl>
      </c:pivotFmt>
      <c:pivotFmt>
        <c:idx val="29"/>
        <c:dLbl>
          <c:idx val="0"/>
          <c:showLegendKey val="0"/>
          <c:showVal val="1"/>
          <c:showCatName val="0"/>
          <c:showSerName val="0"/>
          <c:showPercent val="0"/>
          <c:showBubbleSize val="0"/>
          <c:extLst>
            <c:ext xmlns:c15="http://schemas.microsoft.com/office/drawing/2012/chart" uri="{CE6537A1-D6FC-4f65-9D91-7224C49458BB}"/>
          </c:extLst>
        </c:dLbl>
      </c:pivotFmt>
      <c:pivotFmt>
        <c:idx val="30"/>
        <c:dLbl>
          <c:idx val="0"/>
          <c:showLegendKey val="0"/>
          <c:showVal val="1"/>
          <c:showCatName val="0"/>
          <c:showSerName val="0"/>
          <c:showPercent val="0"/>
          <c:showBubbleSize val="0"/>
          <c:extLst>
            <c:ext xmlns:c15="http://schemas.microsoft.com/office/drawing/2012/chart" uri="{CE6537A1-D6FC-4f65-9D91-7224C49458BB}"/>
          </c:extLst>
        </c:dLbl>
      </c:pivotFmt>
      <c:pivotFmt>
        <c:idx val="31"/>
        <c:dLbl>
          <c:idx val="0"/>
          <c:showLegendKey val="0"/>
          <c:showVal val="1"/>
          <c:showCatName val="0"/>
          <c:showSerName val="0"/>
          <c:showPercent val="0"/>
          <c:showBubbleSize val="0"/>
          <c:extLst>
            <c:ext xmlns:c15="http://schemas.microsoft.com/office/drawing/2012/chart" uri="{CE6537A1-D6FC-4f65-9D91-7224C49458BB}"/>
          </c:extLst>
        </c:dLbl>
      </c:pivotFmt>
      <c:pivotFmt>
        <c:idx val="32"/>
        <c:dLbl>
          <c:idx val="0"/>
          <c:showLegendKey val="0"/>
          <c:showVal val="1"/>
          <c:showCatName val="0"/>
          <c:showSerName val="0"/>
          <c:showPercent val="0"/>
          <c:showBubbleSize val="0"/>
          <c:extLst>
            <c:ext xmlns:c15="http://schemas.microsoft.com/office/drawing/2012/chart" uri="{CE6537A1-D6FC-4f65-9D91-7224C49458BB}"/>
          </c:extLst>
        </c:dLbl>
      </c:pivotFmt>
      <c:pivotFmt>
        <c:idx val="33"/>
        <c:dLbl>
          <c:idx val="0"/>
          <c:showLegendKey val="0"/>
          <c:showVal val="1"/>
          <c:showCatName val="0"/>
          <c:showSerName val="0"/>
          <c:showPercent val="0"/>
          <c:showBubbleSize val="0"/>
          <c:extLst>
            <c:ext xmlns:c15="http://schemas.microsoft.com/office/drawing/2012/chart" uri="{CE6537A1-D6FC-4f65-9D91-7224C49458BB}"/>
          </c:extLst>
        </c:dLbl>
      </c:pivotFmt>
      <c:pivotFmt>
        <c:idx val="34"/>
        <c:dLbl>
          <c:idx val="0"/>
          <c:showLegendKey val="0"/>
          <c:showVal val="1"/>
          <c:showCatName val="0"/>
          <c:showSerName val="0"/>
          <c:showPercent val="0"/>
          <c:showBubbleSize val="0"/>
          <c:extLst>
            <c:ext xmlns:c15="http://schemas.microsoft.com/office/drawing/2012/chart" uri="{CE6537A1-D6FC-4f65-9D91-7224C49458BB}"/>
          </c:extLst>
        </c:dLbl>
      </c:pivotFmt>
      <c:pivotFmt>
        <c:idx val="35"/>
        <c:dLbl>
          <c:idx val="0"/>
          <c:showLegendKey val="0"/>
          <c:showVal val="1"/>
          <c:showCatName val="0"/>
          <c:showSerName val="0"/>
          <c:showPercent val="0"/>
          <c:showBubbleSize val="0"/>
          <c:extLst>
            <c:ext xmlns:c15="http://schemas.microsoft.com/office/drawing/2012/chart" uri="{CE6537A1-D6FC-4f65-9D91-7224C49458BB}"/>
          </c:extLst>
        </c:dLbl>
      </c:pivotFmt>
      <c:pivotFmt>
        <c:idx val="36"/>
        <c:dLbl>
          <c:idx val="0"/>
          <c:showLegendKey val="0"/>
          <c:showVal val="1"/>
          <c:showCatName val="0"/>
          <c:showSerName val="0"/>
          <c:showPercent val="0"/>
          <c:showBubbleSize val="0"/>
          <c:extLst>
            <c:ext xmlns:c15="http://schemas.microsoft.com/office/drawing/2012/chart" uri="{CE6537A1-D6FC-4f65-9D91-7224C49458BB}"/>
          </c:extLst>
        </c:dLbl>
      </c:pivotFmt>
      <c:pivotFmt>
        <c:idx val="37"/>
        <c:dLbl>
          <c:idx val="0"/>
          <c:showLegendKey val="0"/>
          <c:showVal val="1"/>
          <c:showCatName val="0"/>
          <c:showSerName val="0"/>
          <c:showPercent val="0"/>
          <c:showBubbleSize val="0"/>
          <c:extLst>
            <c:ext xmlns:c15="http://schemas.microsoft.com/office/drawing/2012/chart" uri="{CE6537A1-D6FC-4f65-9D91-7224C49458BB}"/>
          </c:extLst>
        </c:dLbl>
      </c:pivotFmt>
      <c:pivotFmt>
        <c:idx val="38"/>
        <c:dLbl>
          <c:idx val="0"/>
          <c:showLegendKey val="0"/>
          <c:showVal val="1"/>
          <c:showCatName val="0"/>
          <c:showSerName val="0"/>
          <c:showPercent val="0"/>
          <c:showBubbleSize val="0"/>
          <c:extLst>
            <c:ext xmlns:c15="http://schemas.microsoft.com/office/drawing/2012/chart" uri="{CE6537A1-D6FC-4f65-9D91-7224C49458BB}"/>
          </c:extLst>
        </c:dLbl>
      </c:pivotFmt>
      <c:pivotFmt>
        <c:idx val="39"/>
        <c:dLbl>
          <c:idx val="0"/>
          <c:showLegendKey val="0"/>
          <c:showVal val="1"/>
          <c:showCatName val="0"/>
          <c:showSerName val="0"/>
          <c:showPercent val="0"/>
          <c:showBubbleSize val="0"/>
          <c:extLst>
            <c:ext xmlns:c15="http://schemas.microsoft.com/office/drawing/2012/chart" uri="{CE6537A1-D6FC-4f65-9D91-7224C49458BB}"/>
          </c:extLst>
        </c:dLbl>
      </c:pivotFmt>
      <c:pivotFmt>
        <c:idx val="40"/>
        <c:dLbl>
          <c:idx val="0"/>
          <c:showLegendKey val="0"/>
          <c:showVal val="1"/>
          <c:showCatName val="0"/>
          <c:showSerName val="0"/>
          <c:showPercent val="0"/>
          <c:showBubbleSize val="0"/>
          <c:extLst>
            <c:ext xmlns:c15="http://schemas.microsoft.com/office/drawing/2012/chart" uri="{CE6537A1-D6FC-4f65-9D91-7224C49458BB}"/>
          </c:extLst>
        </c:dLbl>
      </c:pivotFmt>
      <c:pivotFmt>
        <c:idx val="41"/>
        <c:dLbl>
          <c:idx val="0"/>
          <c:showLegendKey val="0"/>
          <c:showVal val="1"/>
          <c:showCatName val="0"/>
          <c:showSerName val="0"/>
          <c:showPercent val="0"/>
          <c:showBubbleSize val="0"/>
          <c:extLst>
            <c:ext xmlns:c15="http://schemas.microsoft.com/office/drawing/2012/chart" uri="{CE6537A1-D6FC-4f65-9D91-7224C49458BB}"/>
          </c:extLst>
        </c:dLbl>
      </c:pivotFmt>
      <c:pivotFmt>
        <c:idx val="42"/>
        <c:dLbl>
          <c:idx val="0"/>
          <c:showLegendKey val="0"/>
          <c:showVal val="1"/>
          <c:showCatName val="0"/>
          <c:showSerName val="0"/>
          <c:showPercent val="0"/>
          <c:showBubbleSize val="0"/>
          <c:extLst>
            <c:ext xmlns:c15="http://schemas.microsoft.com/office/drawing/2012/chart" uri="{CE6537A1-D6FC-4f65-9D91-7224C49458BB}"/>
          </c:extLst>
        </c:dLbl>
      </c:pivotFmt>
      <c:pivotFmt>
        <c:idx val="43"/>
        <c:dLbl>
          <c:idx val="0"/>
          <c:showLegendKey val="0"/>
          <c:showVal val="1"/>
          <c:showCatName val="0"/>
          <c:showSerName val="0"/>
          <c:showPercent val="0"/>
          <c:showBubbleSize val="0"/>
          <c:extLst>
            <c:ext xmlns:c15="http://schemas.microsoft.com/office/drawing/2012/chart" uri="{CE6537A1-D6FC-4f65-9D91-7224C49458BB}"/>
          </c:extLst>
        </c:dLbl>
      </c:pivotFmt>
      <c:pivotFmt>
        <c:idx val="44"/>
        <c:dLbl>
          <c:idx val="0"/>
          <c:showLegendKey val="0"/>
          <c:showVal val="1"/>
          <c:showCatName val="0"/>
          <c:showSerName val="0"/>
          <c:showPercent val="0"/>
          <c:showBubbleSize val="0"/>
          <c:extLst>
            <c:ext xmlns:c15="http://schemas.microsoft.com/office/drawing/2012/chart" uri="{CE6537A1-D6FC-4f65-9D91-7224C49458BB}"/>
          </c:extLst>
        </c:dLbl>
      </c:pivotFmt>
      <c:pivotFmt>
        <c:idx val="45"/>
        <c:dLbl>
          <c:idx val="0"/>
          <c:showLegendKey val="0"/>
          <c:showVal val="1"/>
          <c:showCatName val="0"/>
          <c:showSerName val="0"/>
          <c:showPercent val="0"/>
          <c:showBubbleSize val="0"/>
          <c:extLst>
            <c:ext xmlns:c15="http://schemas.microsoft.com/office/drawing/2012/chart" uri="{CE6537A1-D6FC-4f65-9D91-7224C49458BB}"/>
          </c:extLst>
        </c:dLbl>
      </c:pivotFmt>
      <c:pivotFmt>
        <c:idx val="46"/>
        <c:dLbl>
          <c:idx val="0"/>
          <c:showLegendKey val="0"/>
          <c:showVal val="1"/>
          <c:showCatName val="0"/>
          <c:showSerName val="0"/>
          <c:showPercent val="0"/>
          <c:showBubbleSize val="0"/>
          <c:extLst>
            <c:ext xmlns:c15="http://schemas.microsoft.com/office/drawing/2012/chart" uri="{CE6537A1-D6FC-4f65-9D91-7224C49458BB}"/>
          </c:extLst>
        </c:dLbl>
      </c:pivotFmt>
      <c:pivotFmt>
        <c:idx val="47"/>
        <c:dLbl>
          <c:idx val="0"/>
          <c:showLegendKey val="0"/>
          <c:showVal val="1"/>
          <c:showCatName val="0"/>
          <c:showSerName val="0"/>
          <c:showPercent val="0"/>
          <c:showBubbleSize val="0"/>
          <c:extLst>
            <c:ext xmlns:c15="http://schemas.microsoft.com/office/drawing/2012/chart" uri="{CE6537A1-D6FC-4f65-9D91-7224C49458BB}"/>
          </c:extLst>
        </c:dLbl>
      </c:pivotFmt>
      <c:pivotFmt>
        <c:idx val="48"/>
        <c:dLbl>
          <c:idx val="0"/>
          <c:showLegendKey val="0"/>
          <c:showVal val="1"/>
          <c:showCatName val="0"/>
          <c:showSerName val="0"/>
          <c:showPercent val="0"/>
          <c:showBubbleSize val="0"/>
          <c:extLst>
            <c:ext xmlns:c15="http://schemas.microsoft.com/office/drawing/2012/chart" uri="{CE6537A1-D6FC-4f65-9D91-7224C49458BB}"/>
          </c:extLst>
        </c:dLbl>
      </c:pivotFmt>
      <c:pivotFmt>
        <c:idx val="49"/>
        <c:dLbl>
          <c:idx val="0"/>
          <c:showLegendKey val="0"/>
          <c:showVal val="1"/>
          <c:showCatName val="0"/>
          <c:showSerName val="0"/>
          <c:showPercent val="0"/>
          <c:showBubbleSize val="0"/>
          <c:extLst>
            <c:ext xmlns:c15="http://schemas.microsoft.com/office/drawing/2012/chart" uri="{CE6537A1-D6FC-4f65-9D91-7224C49458BB}"/>
          </c:extLst>
        </c:dLbl>
      </c:pivotFmt>
      <c:pivotFmt>
        <c:idx val="50"/>
        <c:dLbl>
          <c:idx val="0"/>
          <c:showLegendKey val="0"/>
          <c:showVal val="1"/>
          <c:showCatName val="0"/>
          <c:showSerName val="0"/>
          <c:showPercent val="0"/>
          <c:showBubbleSize val="0"/>
          <c:extLst>
            <c:ext xmlns:c15="http://schemas.microsoft.com/office/drawing/2012/chart" uri="{CE6537A1-D6FC-4f65-9D91-7224C49458BB}"/>
          </c:extLst>
        </c:dLbl>
      </c:pivotFmt>
      <c:pivotFmt>
        <c:idx val="51"/>
        <c:dLbl>
          <c:idx val="0"/>
          <c:showLegendKey val="0"/>
          <c:showVal val="1"/>
          <c:showCatName val="0"/>
          <c:showSerName val="0"/>
          <c:showPercent val="0"/>
          <c:showBubbleSize val="0"/>
          <c:extLst>
            <c:ext xmlns:c15="http://schemas.microsoft.com/office/drawing/2012/chart" uri="{CE6537A1-D6FC-4f65-9D91-7224C49458BB}"/>
          </c:extLst>
        </c:dLbl>
      </c:pivotFmt>
      <c:pivotFmt>
        <c:idx val="52"/>
        <c:dLbl>
          <c:idx val="0"/>
          <c:showLegendKey val="0"/>
          <c:showVal val="1"/>
          <c:showCatName val="0"/>
          <c:showSerName val="0"/>
          <c:showPercent val="0"/>
          <c:showBubbleSize val="0"/>
          <c:extLst>
            <c:ext xmlns:c15="http://schemas.microsoft.com/office/drawing/2012/chart" uri="{CE6537A1-D6FC-4f65-9D91-7224C49458BB}"/>
          </c:extLst>
        </c:dLbl>
      </c:pivotFmt>
      <c:pivotFmt>
        <c:idx val="53"/>
        <c:dLbl>
          <c:idx val="0"/>
          <c:showLegendKey val="0"/>
          <c:showVal val="1"/>
          <c:showCatName val="0"/>
          <c:showSerName val="0"/>
          <c:showPercent val="0"/>
          <c:showBubbleSize val="0"/>
          <c:extLst>
            <c:ext xmlns:c15="http://schemas.microsoft.com/office/drawing/2012/chart" uri="{CE6537A1-D6FC-4f65-9D91-7224C49458BB}"/>
          </c:extLst>
        </c:dLbl>
      </c:pivotFmt>
      <c:pivotFmt>
        <c:idx val="54"/>
        <c:dLbl>
          <c:idx val="0"/>
          <c:showLegendKey val="0"/>
          <c:showVal val="1"/>
          <c:showCatName val="0"/>
          <c:showSerName val="0"/>
          <c:showPercent val="0"/>
          <c:showBubbleSize val="0"/>
          <c:extLst>
            <c:ext xmlns:c15="http://schemas.microsoft.com/office/drawing/2012/chart" uri="{CE6537A1-D6FC-4f65-9D91-7224C49458BB}"/>
          </c:extLst>
        </c:dLbl>
      </c:pivotFmt>
      <c:pivotFmt>
        <c:idx val="55"/>
        <c:dLbl>
          <c:idx val="0"/>
          <c:showLegendKey val="0"/>
          <c:showVal val="1"/>
          <c:showCatName val="0"/>
          <c:showSerName val="0"/>
          <c:showPercent val="0"/>
          <c:showBubbleSize val="0"/>
          <c:extLst>
            <c:ext xmlns:c15="http://schemas.microsoft.com/office/drawing/2012/chart" uri="{CE6537A1-D6FC-4f65-9D91-7224C49458BB}"/>
          </c:extLst>
        </c:dLbl>
      </c:pivotFmt>
      <c:pivotFmt>
        <c:idx val="56"/>
        <c:dLbl>
          <c:idx val="0"/>
          <c:showLegendKey val="0"/>
          <c:showVal val="1"/>
          <c:showCatName val="0"/>
          <c:showSerName val="0"/>
          <c:showPercent val="0"/>
          <c:showBubbleSize val="0"/>
          <c:extLst>
            <c:ext xmlns:c15="http://schemas.microsoft.com/office/drawing/2012/chart" uri="{CE6537A1-D6FC-4f65-9D91-7224C49458BB}"/>
          </c:extLst>
        </c:dLbl>
      </c:pivotFmt>
      <c:pivotFmt>
        <c:idx val="57"/>
        <c:dLbl>
          <c:idx val="0"/>
          <c:showLegendKey val="0"/>
          <c:showVal val="1"/>
          <c:showCatName val="0"/>
          <c:showSerName val="0"/>
          <c:showPercent val="0"/>
          <c:showBubbleSize val="0"/>
          <c:extLst>
            <c:ext xmlns:c15="http://schemas.microsoft.com/office/drawing/2012/chart" uri="{CE6537A1-D6FC-4f65-9D91-7224C49458BB}"/>
          </c:extLst>
        </c:dLbl>
      </c:pivotFmt>
      <c:pivotFmt>
        <c:idx val="58"/>
        <c:dLbl>
          <c:idx val="0"/>
          <c:showLegendKey val="0"/>
          <c:showVal val="1"/>
          <c:showCatName val="0"/>
          <c:showSerName val="0"/>
          <c:showPercent val="0"/>
          <c:showBubbleSize val="0"/>
          <c:extLst>
            <c:ext xmlns:c15="http://schemas.microsoft.com/office/drawing/2012/chart" uri="{CE6537A1-D6FC-4f65-9D91-7224C49458BB}"/>
          </c:extLst>
        </c:dLbl>
      </c:pivotFmt>
      <c:pivotFmt>
        <c:idx val="59"/>
        <c:dLbl>
          <c:idx val="0"/>
          <c:showLegendKey val="0"/>
          <c:showVal val="1"/>
          <c:showCatName val="0"/>
          <c:showSerName val="0"/>
          <c:showPercent val="0"/>
          <c:showBubbleSize val="0"/>
          <c:extLst>
            <c:ext xmlns:c15="http://schemas.microsoft.com/office/drawing/2012/chart" uri="{CE6537A1-D6FC-4f65-9D91-7224C49458BB}"/>
          </c:extLst>
        </c:dLbl>
      </c:pivotFmt>
      <c:pivotFmt>
        <c:idx val="60"/>
        <c:dLbl>
          <c:idx val="0"/>
          <c:showLegendKey val="0"/>
          <c:showVal val="1"/>
          <c:showCatName val="0"/>
          <c:showSerName val="0"/>
          <c:showPercent val="0"/>
          <c:showBubbleSize val="0"/>
          <c:extLst>
            <c:ext xmlns:c15="http://schemas.microsoft.com/office/drawing/2012/chart" uri="{CE6537A1-D6FC-4f65-9D91-7224C49458BB}"/>
          </c:extLst>
        </c:dLbl>
      </c:pivotFmt>
      <c:pivotFmt>
        <c:idx val="61"/>
        <c:dLbl>
          <c:idx val="0"/>
          <c:showLegendKey val="0"/>
          <c:showVal val="1"/>
          <c:showCatName val="0"/>
          <c:showSerName val="0"/>
          <c:showPercent val="0"/>
          <c:showBubbleSize val="0"/>
          <c:extLst>
            <c:ext xmlns:c15="http://schemas.microsoft.com/office/drawing/2012/chart" uri="{CE6537A1-D6FC-4f65-9D91-7224C49458BB}"/>
          </c:extLst>
        </c:dLbl>
      </c:pivotFmt>
      <c:pivotFmt>
        <c:idx val="62"/>
        <c:dLbl>
          <c:idx val="0"/>
          <c:showLegendKey val="0"/>
          <c:showVal val="1"/>
          <c:showCatName val="0"/>
          <c:showSerName val="0"/>
          <c:showPercent val="0"/>
          <c:showBubbleSize val="0"/>
          <c:extLst>
            <c:ext xmlns:c15="http://schemas.microsoft.com/office/drawing/2012/chart" uri="{CE6537A1-D6FC-4f65-9D91-7224C49458BB}"/>
          </c:extLst>
        </c:dLbl>
      </c:pivotFmt>
      <c:pivotFmt>
        <c:idx val="63"/>
        <c:dLbl>
          <c:idx val="0"/>
          <c:showLegendKey val="0"/>
          <c:showVal val="1"/>
          <c:showCatName val="0"/>
          <c:showSerName val="0"/>
          <c:showPercent val="0"/>
          <c:showBubbleSize val="0"/>
          <c:extLst>
            <c:ext xmlns:c15="http://schemas.microsoft.com/office/drawing/2012/chart" uri="{CE6537A1-D6FC-4f65-9D91-7224C49458BB}"/>
          </c:extLst>
        </c:dLbl>
      </c:pivotFmt>
      <c:pivotFmt>
        <c:idx val="64"/>
        <c:dLbl>
          <c:idx val="0"/>
          <c:showLegendKey val="0"/>
          <c:showVal val="1"/>
          <c:showCatName val="0"/>
          <c:showSerName val="0"/>
          <c:showPercent val="0"/>
          <c:showBubbleSize val="0"/>
          <c:extLst>
            <c:ext xmlns:c15="http://schemas.microsoft.com/office/drawing/2012/chart" uri="{CE6537A1-D6FC-4f65-9D91-7224C49458BB}"/>
          </c:extLst>
        </c:dLbl>
      </c:pivotFmt>
      <c:pivotFmt>
        <c:idx val="65"/>
        <c:dLbl>
          <c:idx val="0"/>
          <c:showLegendKey val="0"/>
          <c:showVal val="1"/>
          <c:showCatName val="0"/>
          <c:showSerName val="0"/>
          <c:showPercent val="0"/>
          <c:showBubbleSize val="0"/>
          <c:extLst>
            <c:ext xmlns:c15="http://schemas.microsoft.com/office/drawing/2012/chart" uri="{CE6537A1-D6FC-4f65-9D91-7224C49458BB}"/>
          </c:extLst>
        </c:dLbl>
      </c:pivotFmt>
      <c:pivotFmt>
        <c:idx val="66"/>
        <c:dLbl>
          <c:idx val="0"/>
          <c:showLegendKey val="0"/>
          <c:showVal val="1"/>
          <c:showCatName val="0"/>
          <c:showSerName val="0"/>
          <c:showPercent val="0"/>
          <c:showBubbleSize val="0"/>
          <c:extLst>
            <c:ext xmlns:c15="http://schemas.microsoft.com/office/drawing/2012/chart" uri="{CE6537A1-D6FC-4f65-9D91-7224C49458BB}"/>
          </c:extLst>
        </c:dLbl>
      </c:pivotFmt>
      <c:pivotFmt>
        <c:idx val="67"/>
        <c:dLbl>
          <c:idx val="0"/>
          <c:showLegendKey val="0"/>
          <c:showVal val="1"/>
          <c:showCatName val="0"/>
          <c:showSerName val="0"/>
          <c:showPercent val="0"/>
          <c:showBubbleSize val="0"/>
          <c:extLst>
            <c:ext xmlns:c15="http://schemas.microsoft.com/office/drawing/2012/chart" uri="{CE6537A1-D6FC-4f65-9D91-7224C49458BB}"/>
          </c:extLst>
        </c:dLbl>
      </c:pivotFmt>
      <c:pivotFmt>
        <c:idx val="68"/>
        <c:dLbl>
          <c:idx val="0"/>
          <c:showLegendKey val="0"/>
          <c:showVal val="1"/>
          <c:showCatName val="0"/>
          <c:showSerName val="0"/>
          <c:showPercent val="0"/>
          <c:showBubbleSize val="0"/>
          <c:extLst>
            <c:ext xmlns:c15="http://schemas.microsoft.com/office/drawing/2012/chart" uri="{CE6537A1-D6FC-4f65-9D91-7224C49458BB}"/>
          </c:extLst>
        </c:dLbl>
      </c:pivotFmt>
      <c:pivotFmt>
        <c:idx val="69"/>
        <c:dLbl>
          <c:idx val="0"/>
          <c:showLegendKey val="0"/>
          <c:showVal val="1"/>
          <c:showCatName val="0"/>
          <c:showSerName val="0"/>
          <c:showPercent val="0"/>
          <c:showBubbleSize val="0"/>
          <c:extLst>
            <c:ext xmlns:c15="http://schemas.microsoft.com/office/drawing/2012/chart" uri="{CE6537A1-D6FC-4f65-9D91-7224C49458BB}"/>
          </c:extLst>
        </c:dLbl>
      </c:pivotFmt>
      <c:pivotFmt>
        <c:idx val="70"/>
        <c:dLbl>
          <c:idx val="0"/>
          <c:showLegendKey val="0"/>
          <c:showVal val="1"/>
          <c:showCatName val="0"/>
          <c:showSerName val="0"/>
          <c:showPercent val="0"/>
          <c:showBubbleSize val="0"/>
          <c:extLst>
            <c:ext xmlns:c15="http://schemas.microsoft.com/office/drawing/2012/chart" uri="{CE6537A1-D6FC-4f65-9D91-7224C49458BB}"/>
          </c:extLst>
        </c:dLbl>
      </c:pivotFmt>
      <c:pivotFmt>
        <c:idx val="71"/>
        <c:dLbl>
          <c:idx val="0"/>
          <c:showLegendKey val="0"/>
          <c:showVal val="1"/>
          <c:showCatName val="0"/>
          <c:showSerName val="0"/>
          <c:showPercent val="0"/>
          <c:showBubbleSize val="0"/>
          <c:extLst>
            <c:ext xmlns:c15="http://schemas.microsoft.com/office/drawing/2012/chart" uri="{CE6537A1-D6FC-4f65-9D91-7224C49458BB}"/>
          </c:extLst>
        </c:dLbl>
      </c:pivotFmt>
      <c:pivotFmt>
        <c:idx val="72"/>
        <c:spPr>
          <a:ln w="22225" cap="rnd">
            <a:solidFill>
              <a:schemeClr val="accent1"/>
            </a:solidFill>
          </a:ln>
          <a:effectLst>
            <a:glow rad="139700">
              <a:schemeClr val="accent1">
                <a:satMod val="175000"/>
                <a:alpha val="14000"/>
              </a:schemeClr>
            </a:glow>
          </a:effectLst>
        </c:spPr>
        <c:marker>
          <c:symbol val="circle"/>
          <c:size val="4"/>
          <c:spPr>
            <a:solidFill>
              <a:schemeClr val="accent1">
                <a:shade val="58000"/>
                <a:lumMod val="60000"/>
                <a:lumOff val="40000"/>
              </a:schemeClr>
            </a:solidFill>
            <a:ln>
              <a:noFill/>
            </a:ln>
            <a:effectLst>
              <a:glow rad="63500">
                <a:schemeClr val="accent1">
                  <a:shade val="58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3"/>
        <c:spPr>
          <a:ln w="22225" cap="rnd">
            <a:solidFill>
              <a:schemeClr val="accent1"/>
            </a:solidFill>
          </a:ln>
          <a:effectLst>
            <a:glow rad="139700">
              <a:schemeClr val="accent1">
                <a:satMod val="175000"/>
                <a:alpha val="14000"/>
              </a:schemeClr>
            </a:glow>
          </a:effectLst>
        </c:spPr>
        <c:marker>
          <c:symbol val="circle"/>
          <c:size val="4"/>
          <c:spPr>
            <a:solidFill>
              <a:schemeClr val="accent1">
                <a:shade val="86000"/>
                <a:lumMod val="60000"/>
                <a:lumOff val="40000"/>
              </a:schemeClr>
            </a:solidFill>
            <a:ln>
              <a:noFill/>
            </a:ln>
            <a:effectLst>
              <a:glow rad="63500">
                <a:schemeClr val="accent1">
                  <a:shade val="8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ln w="22225" cap="rnd">
            <a:solidFill>
              <a:schemeClr val="accent1"/>
            </a:solidFill>
          </a:ln>
          <a:effectLst>
            <a:glow rad="139700">
              <a:schemeClr val="accent1">
                <a:satMod val="175000"/>
                <a:alpha val="14000"/>
              </a:schemeClr>
            </a:glow>
          </a:effectLst>
        </c:spPr>
        <c:marker>
          <c:symbol val="circle"/>
          <c:size val="4"/>
          <c:spPr>
            <a:solidFill>
              <a:schemeClr val="accent1">
                <a:tint val="86000"/>
                <a:lumMod val="60000"/>
                <a:lumOff val="40000"/>
              </a:schemeClr>
            </a:solidFill>
            <a:ln>
              <a:noFill/>
            </a:ln>
            <a:effectLst>
              <a:glow rad="63500">
                <a:schemeClr val="accent1">
                  <a:tint val="8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ln w="22225" cap="rnd">
            <a:solidFill>
              <a:schemeClr val="accent1"/>
            </a:solidFill>
          </a:ln>
          <a:effectLst>
            <a:glow rad="139700">
              <a:schemeClr val="accent1">
                <a:satMod val="175000"/>
                <a:alpha val="14000"/>
              </a:schemeClr>
            </a:glow>
          </a:effectLst>
        </c:spPr>
        <c:marker>
          <c:symbol val="circle"/>
          <c:size val="4"/>
          <c:spPr>
            <a:solidFill>
              <a:schemeClr val="accent1">
                <a:tint val="58000"/>
                <a:lumMod val="60000"/>
                <a:lumOff val="40000"/>
              </a:schemeClr>
            </a:solidFill>
            <a:ln>
              <a:noFill/>
            </a:ln>
            <a:effectLst>
              <a:glow rad="63500">
                <a:schemeClr val="accent1">
                  <a:tint val="58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6"/>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Pivot_table!$B$20:$B$21</c:f>
              <c:strCache>
                <c:ptCount val="1"/>
                <c:pt idx="0">
                  <c:v>Corporate</c:v>
                </c:pt>
              </c:strCache>
            </c:strRef>
          </c:tx>
          <c:spPr>
            <a:ln w="22225" cap="rnd">
              <a:solidFill>
                <a:schemeClr val="accent1">
                  <a:shade val="58000"/>
                </a:schemeClr>
              </a:solidFill>
            </a:ln>
            <a:effectLst>
              <a:glow rad="139700">
                <a:schemeClr val="accent1">
                  <a:shade val="58000"/>
                  <a:satMod val="175000"/>
                  <a:alpha val="14000"/>
                </a:schemeClr>
              </a:glow>
            </a:effectLst>
          </c:spPr>
          <c:marker>
            <c:symbol val="circle"/>
            <c:size val="4"/>
            <c:spPr>
              <a:solidFill>
                <a:schemeClr val="accent1">
                  <a:shade val="58000"/>
                  <a:lumMod val="60000"/>
                  <a:lumOff val="40000"/>
                </a:schemeClr>
              </a:solidFill>
              <a:ln>
                <a:noFill/>
              </a:ln>
              <a:effectLst>
                <a:glow rad="63500">
                  <a:schemeClr val="accent1">
                    <a:shade val="58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Pivot_table!$A$22:$A$27</c:f>
              <c:strCache>
                <c:ptCount val="5"/>
                <c:pt idx="0">
                  <c:v>2017</c:v>
                </c:pt>
                <c:pt idx="1">
                  <c:v>2018</c:v>
                </c:pt>
                <c:pt idx="2">
                  <c:v>2019</c:v>
                </c:pt>
                <c:pt idx="3">
                  <c:v>2020</c:v>
                </c:pt>
                <c:pt idx="4">
                  <c:v>2021</c:v>
                </c:pt>
              </c:strCache>
            </c:strRef>
          </c:cat>
          <c:val>
            <c:numRef>
              <c:f>Pivot_table!$B$22:$B$27</c:f>
              <c:numCache>
                <c:formatCode>General</c:formatCode>
                <c:ptCount val="5"/>
                <c:pt idx="0">
                  <c:v>20</c:v>
                </c:pt>
                <c:pt idx="1">
                  <c:v>11</c:v>
                </c:pt>
                <c:pt idx="2">
                  <c:v>17</c:v>
                </c:pt>
                <c:pt idx="3">
                  <c:v>13</c:v>
                </c:pt>
                <c:pt idx="4">
                  <c:v>18</c:v>
                </c:pt>
              </c:numCache>
            </c:numRef>
          </c:val>
          <c:smooth val="0"/>
          <c:extLst>
            <c:ext xmlns:c16="http://schemas.microsoft.com/office/drawing/2014/chart" uri="{C3380CC4-5D6E-409C-BE32-E72D297353CC}">
              <c16:uniqueId val="{00000000-E3E5-43A4-BE7A-3F9E5D0848F3}"/>
            </c:ext>
          </c:extLst>
        </c:ser>
        <c:ser>
          <c:idx val="1"/>
          <c:order val="1"/>
          <c:tx>
            <c:strRef>
              <c:f>Pivot_table!$C$20:$C$21</c:f>
              <c:strCache>
                <c:ptCount val="1"/>
                <c:pt idx="0">
                  <c:v>Manufacturing</c:v>
                </c:pt>
              </c:strCache>
            </c:strRef>
          </c:tx>
          <c:spPr>
            <a:ln w="22225" cap="rnd">
              <a:solidFill>
                <a:schemeClr val="accent1">
                  <a:shade val="86000"/>
                </a:schemeClr>
              </a:solidFill>
            </a:ln>
            <a:effectLst>
              <a:glow rad="139700">
                <a:schemeClr val="accent1">
                  <a:shade val="86000"/>
                  <a:satMod val="175000"/>
                  <a:alpha val="14000"/>
                </a:schemeClr>
              </a:glow>
            </a:effectLst>
          </c:spPr>
          <c:marker>
            <c:symbol val="circle"/>
            <c:size val="4"/>
            <c:spPr>
              <a:solidFill>
                <a:schemeClr val="accent1">
                  <a:shade val="86000"/>
                  <a:lumMod val="60000"/>
                  <a:lumOff val="40000"/>
                </a:schemeClr>
              </a:solidFill>
              <a:ln>
                <a:noFill/>
              </a:ln>
              <a:effectLst>
                <a:glow rad="63500">
                  <a:schemeClr val="accent1">
                    <a:shade val="86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Pivot_table!$A$22:$A$27</c:f>
              <c:strCache>
                <c:ptCount val="5"/>
                <c:pt idx="0">
                  <c:v>2017</c:v>
                </c:pt>
                <c:pt idx="1">
                  <c:v>2018</c:v>
                </c:pt>
                <c:pt idx="2">
                  <c:v>2019</c:v>
                </c:pt>
                <c:pt idx="3">
                  <c:v>2020</c:v>
                </c:pt>
                <c:pt idx="4">
                  <c:v>2021</c:v>
                </c:pt>
              </c:strCache>
            </c:strRef>
          </c:cat>
          <c:val>
            <c:numRef>
              <c:f>Pivot_table!$C$22:$C$27</c:f>
              <c:numCache>
                <c:formatCode>General</c:formatCode>
                <c:ptCount val="5"/>
                <c:pt idx="0">
                  <c:v>22</c:v>
                </c:pt>
                <c:pt idx="1">
                  <c:v>20</c:v>
                </c:pt>
                <c:pt idx="2">
                  <c:v>15</c:v>
                </c:pt>
                <c:pt idx="3">
                  <c:v>14</c:v>
                </c:pt>
                <c:pt idx="4">
                  <c:v>23</c:v>
                </c:pt>
              </c:numCache>
            </c:numRef>
          </c:val>
          <c:smooth val="0"/>
          <c:extLst>
            <c:ext xmlns:c16="http://schemas.microsoft.com/office/drawing/2014/chart" uri="{C3380CC4-5D6E-409C-BE32-E72D297353CC}">
              <c16:uniqueId val="{0000000E-8A7D-40C9-A1F8-CC4B37314492}"/>
            </c:ext>
          </c:extLst>
        </c:ser>
        <c:ser>
          <c:idx val="2"/>
          <c:order val="2"/>
          <c:tx>
            <c:strRef>
              <c:f>Pivot_table!$D$20:$D$21</c:f>
              <c:strCache>
                <c:ptCount val="1"/>
                <c:pt idx="0">
                  <c:v>Research &amp; Development</c:v>
                </c:pt>
              </c:strCache>
            </c:strRef>
          </c:tx>
          <c:spPr>
            <a:ln w="22225" cap="rnd">
              <a:solidFill>
                <a:schemeClr val="accent1">
                  <a:tint val="86000"/>
                </a:schemeClr>
              </a:solidFill>
            </a:ln>
            <a:effectLst>
              <a:glow rad="139700">
                <a:schemeClr val="accent1">
                  <a:tint val="86000"/>
                  <a:satMod val="175000"/>
                  <a:alpha val="14000"/>
                </a:schemeClr>
              </a:glow>
            </a:effectLst>
          </c:spPr>
          <c:marker>
            <c:symbol val="circle"/>
            <c:size val="4"/>
            <c:spPr>
              <a:solidFill>
                <a:schemeClr val="accent1">
                  <a:tint val="86000"/>
                  <a:lumMod val="60000"/>
                  <a:lumOff val="40000"/>
                </a:schemeClr>
              </a:solidFill>
              <a:ln>
                <a:noFill/>
              </a:ln>
              <a:effectLst>
                <a:glow rad="63500">
                  <a:schemeClr val="accent1">
                    <a:tint val="86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Pivot_table!$A$22:$A$27</c:f>
              <c:strCache>
                <c:ptCount val="5"/>
                <c:pt idx="0">
                  <c:v>2017</c:v>
                </c:pt>
                <c:pt idx="1">
                  <c:v>2018</c:v>
                </c:pt>
                <c:pt idx="2">
                  <c:v>2019</c:v>
                </c:pt>
                <c:pt idx="3">
                  <c:v>2020</c:v>
                </c:pt>
                <c:pt idx="4">
                  <c:v>2021</c:v>
                </c:pt>
              </c:strCache>
            </c:strRef>
          </c:cat>
          <c:val>
            <c:numRef>
              <c:f>Pivot_table!$D$22:$D$27</c:f>
              <c:numCache>
                <c:formatCode>General</c:formatCode>
                <c:ptCount val="5"/>
                <c:pt idx="0">
                  <c:v>8</c:v>
                </c:pt>
                <c:pt idx="1">
                  <c:v>18</c:v>
                </c:pt>
                <c:pt idx="2">
                  <c:v>17</c:v>
                </c:pt>
                <c:pt idx="3">
                  <c:v>16</c:v>
                </c:pt>
                <c:pt idx="4">
                  <c:v>18</c:v>
                </c:pt>
              </c:numCache>
            </c:numRef>
          </c:val>
          <c:smooth val="0"/>
          <c:extLst>
            <c:ext xmlns:c16="http://schemas.microsoft.com/office/drawing/2014/chart" uri="{C3380CC4-5D6E-409C-BE32-E72D297353CC}">
              <c16:uniqueId val="{00000013-8A7D-40C9-A1F8-CC4B37314492}"/>
            </c:ext>
          </c:extLst>
        </c:ser>
        <c:ser>
          <c:idx val="3"/>
          <c:order val="3"/>
          <c:tx>
            <c:strRef>
              <c:f>Pivot_table!$E$20:$E$21</c:f>
              <c:strCache>
                <c:ptCount val="1"/>
                <c:pt idx="0">
                  <c:v>Speciality Products</c:v>
                </c:pt>
              </c:strCache>
            </c:strRef>
          </c:tx>
          <c:spPr>
            <a:ln w="22225" cap="rnd">
              <a:solidFill>
                <a:schemeClr val="accent1">
                  <a:tint val="58000"/>
                </a:schemeClr>
              </a:solidFill>
            </a:ln>
            <a:effectLst>
              <a:glow rad="139700">
                <a:schemeClr val="accent1">
                  <a:tint val="58000"/>
                  <a:satMod val="175000"/>
                  <a:alpha val="14000"/>
                </a:schemeClr>
              </a:glow>
            </a:effectLst>
          </c:spPr>
          <c:marker>
            <c:symbol val="circle"/>
            <c:size val="4"/>
            <c:spPr>
              <a:solidFill>
                <a:schemeClr val="accent1">
                  <a:tint val="58000"/>
                  <a:lumMod val="60000"/>
                  <a:lumOff val="40000"/>
                </a:schemeClr>
              </a:solidFill>
              <a:ln>
                <a:noFill/>
              </a:ln>
              <a:effectLst>
                <a:glow rad="63500">
                  <a:schemeClr val="accent1">
                    <a:tint val="58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Pivot_table!$A$22:$A$27</c:f>
              <c:strCache>
                <c:ptCount val="5"/>
                <c:pt idx="0">
                  <c:v>2017</c:v>
                </c:pt>
                <c:pt idx="1">
                  <c:v>2018</c:v>
                </c:pt>
                <c:pt idx="2">
                  <c:v>2019</c:v>
                </c:pt>
                <c:pt idx="3">
                  <c:v>2020</c:v>
                </c:pt>
                <c:pt idx="4">
                  <c:v>2021</c:v>
                </c:pt>
              </c:strCache>
            </c:strRef>
          </c:cat>
          <c:val>
            <c:numRef>
              <c:f>Pivot_table!$E$22:$E$27</c:f>
              <c:numCache>
                <c:formatCode>General</c:formatCode>
                <c:ptCount val="5"/>
                <c:pt idx="0">
                  <c:v>20</c:v>
                </c:pt>
                <c:pt idx="1">
                  <c:v>19</c:v>
                </c:pt>
                <c:pt idx="2">
                  <c:v>19</c:v>
                </c:pt>
                <c:pt idx="3">
                  <c:v>23</c:v>
                </c:pt>
                <c:pt idx="4">
                  <c:v>27</c:v>
                </c:pt>
              </c:numCache>
            </c:numRef>
          </c:val>
          <c:smooth val="0"/>
          <c:extLst>
            <c:ext xmlns:c16="http://schemas.microsoft.com/office/drawing/2014/chart" uri="{C3380CC4-5D6E-409C-BE32-E72D297353CC}">
              <c16:uniqueId val="{00000014-8A7D-40C9-A1F8-CC4B37314492}"/>
            </c:ext>
          </c:extLst>
        </c:ser>
        <c:dLbls>
          <c:showLegendKey val="0"/>
          <c:showVal val="1"/>
          <c:showCatName val="0"/>
          <c:showSerName val="0"/>
          <c:showPercent val="0"/>
          <c:showBubbleSize val="0"/>
        </c:dLbls>
        <c:marker val="1"/>
        <c:smooth val="0"/>
        <c:axId val="298438895"/>
        <c:axId val="298439375"/>
      </c:lineChart>
      <c:catAx>
        <c:axId val="29843889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8439375"/>
        <c:crosses val="autoZero"/>
        <c:auto val="1"/>
        <c:lblAlgn val="ctr"/>
        <c:lblOffset val="100"/>
        <c:noMultiLvlLbl val="0"/>
      </c:catAx>
      <c:valAx>
        <c:axId val="29843937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8438895"/>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rgbClr val="C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Dept_wise</a:t>
            </a:r>
            <a:r>
              <a:rPr lang="en-IN" baseline="0"/>
              <a:t> salary composition</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Pivot_table!$B$31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CCA-4256-87E5-66B225FA797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CCA-4256-87E5-66B225FA797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CCA-4256-87E5-66B225FA797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CCA-4256-87E5-66B225FA797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CCA-4256-87E5-66B225FA797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CCA-4256-87E5-66B225FA797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CCA-4256-87E5-66B225FA79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Pivot_table!$A$32:$A$39</c:f>
              <c:strCache>
                <c:ptCount val="7"/>
                <c:pt idx="0">
                  <c:v>Accounting</c:v>
                </c:pt>
                <c:pt idx="1">
                  <c:v>Engineering</c:v>
                </c:pt>
                <c:pt idx="2">
                  <c:v>Finance</c:v>
                </c:pt>
                <c:pt idx="3">
                  <c:v>Human Resources</c:v>
                </c:pt>
                <c:pt idx="4">
                  <c:v>IT</c:v>
                </c:pt>
                <c:pt idx="5">
                  <c:v>Marketing</c:v>
                </c:pt>
                <c:pt idx="6">
                  <c:v>Sales</c:v>
                </c:pt>
              </c:strCache>
            </c:strRef>
          </c:cat>
          <c:val>
            <c:numRef>
              <c:f>Pivot_table!$B$32:$B$39</c:f>
              <c:numCache>
                <c:formatCode>"$"#,##0_);\("$"#,##0\);"$"0_)</c:formatCode>
                <c:ptCount val="7"/>
                <c:pt idx="0">
                  <c:v>11822107</c:v>
                </c:pt>
                <c:pt idx="1">
                  <c:v>17194264</c:v>
                </c:pt>
                <c:pt idx="2">
                  <c:v>14736347</c:v>
                </c:pt>
                <c:pt idx="3">
                  <c:v>14757305</c:v>
                </c:pt>
                <c:pt idx="4">
                  <c:v>23542690</c:v>
                </c:pt>
                <c:pt idx="5">
                  <c:v>15559564</c:v>
                </c:pt>
                <c:pt idx="6">
                  <c:v>15408132</c:v>
                </c:pt>
              </c:numCache>
            </c:numRef>
          </c:val>
          <c:extLst>
            <c:ext xmlns:c16="http://schemas.microsoft.com/office/drawing/2014/chart" uri="{C3380CC4-5D6E-409C-BE32-E72D297353CC}">
              <c16:uniqueId val="{0000000E-7CCA-4256-87E5-66B225FA797C}"/>
            </c:ext>
          </c:extLst>
        </c:ser>
        <c:dLbls>
          <c:showLegendKey val="0"/>
          <c:showVal val="1"/>
          <c:showCatName val="1"/>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C00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[HR_Dashboard.xlsx]Pivot_table!PivotTable4</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Dept_wise</a:t>
            </a:r>
            <a:r>
              <a:rPr lang="en-IN" baseline="0"/>
              <a:t> emp_count by Age_grp</a:t>
            </a:r>
          </a:p>
          <a:p>
            <a:pPr>
              <a:defRPr/>
            </a:pPr>
            <a:endParaRPr lang="en-IN"/>
          </a:p>
        </c:rich>
      </c:tx>
      <c:layout>
        <c:manualLayout>
          <c:xMode val="edge"/>
          <c:yMode val="edge"/>
          <c:x val="0.27672026111253928"/>
          <c:y val="3.7310417687133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Pivot_table!$B$64:$B$65</c:f>
              <c:strCache>
                <c:ptCount val="1"/>
                <c:pt idx="0">
                  <c:v>&gt;60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Pivot_table!$A$66:$A$73</c:f>
              <c:strCache>
                <c:ptCount val="7"/>
                <c:pt idx="0">
                  <c:v>Accounting</c:v>
                </c:pt>
                <c:pt idx="1">
                  <c:v>Engineering</c:v>
                </c:pt>
                <c:pt idx="2">
                  <c:v>Finance</c:v>
                </c:pt>
                <c:pt idx="3">
                  <c:v>Human Resources</c:v>
                </c:pt>
                <c:pt idx="4">
                  <c:v>IT</c:v>
                </c:pt>
                <c:pt idx="5">
                  <c:v>Marketing</c:v>
                </c:pt>
                <c:pt idx="6">
                  <c:v>Sales</c:v>
                </c:pt>
              </c:strCache>
            </c:strRef>
          </c:cat>
          <c:val>
            <c:numRef>
              <c:f>Pivot_table!$B$66:$B$73</c:f>
              <c:numCache>
                <c:formatCode>General</c:formatCode>
                <c:ptCount val="7"/>
                <c:pt idx="0">
                  <c:v>8</c:v>
                </c:pt>
                <c:pt idx="1">
                  <c:v>20</c:v>
                </c:pt>
                <c:pt idx="2">
                  <c:v>20</c:v>
                </c:pt>
                <c:pt idx="3">
                  <c:v>14</c:v>
                </c:pt>
                <c:pt idx="4">
                  <c:v>19</c:v>
                </c:pt>
                <c:pt idx="5">
                  <c:v>16</c:v>
                </c:pt>
                <c:pt idx="6">
                  <c:v>16</c:v>
                </c:pt>
              </c:numCache>
            </c:numRef>
          </c:val>
          <c:extLst>
            <c:ext xmlns:c16="http://schemas.microsoft.com/office/drawing/2014/chart" uri="{C3380CC4-5D6E-409C-BE32-E72D297353CC}">
              <c16:uniqueId val="{00000000-0329-4721-AE5A-41B54AEEBE70}"/>
            </c:ext>
          </c:extLst>
        </c:ser>
        <c:ser>
          <c:idx val="1"/>
          <c:order val="1"/>
          <c:tx>
            <c:strRef>
              <c:f>Pivot_table!$C$64:$C$65</c:f>
              <c:strCache>
                <c:ptCount val="1"/>
                <c:pt idx="0">
                  <c:v>18-30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Pivot_table!$A$66:$A$73</c:f>
              <c:strCache>
                <c:ptCount val="7"/>
                <c:pt idx="0">
                  <c:v>Accounting</c:v>
                </c:pt>
                <c:pt idx="1">
                  <c:v>Engineering</c:v>
                </c:pt>
                <c:pt idx="2">
                  <c:v>Finance</c:v>
                </c:pt>
                <c:pt idx="3">
                  <c:v>Human Resources</c:v>
                </c:pt>
                <c:pt idx="4">
                  <c:v>IT</c:v>
                </c:pt>
                <c:pt idx="5">
                  <c:v>Marketing</c:v>
                </c:pt>
                <c:pt idx="6">
                  <c:v>Sales</c:v>
                </c:pt>
              </c:strCache>
            </c:strRef>
          </c:cat>
          <c:val>
            <c:numRef>
              <c:f>Pivot_table!$C$66:$C$73</c:f>
              <c:numCache>
                <c:formatCode>General</c:formatCode>
                <c:ptCount val="7"/>
                <c:pt idx="0">
                  <c:v>17</c:v>
                </c:pt>
                <c:pt idx="1">
                  <c:v>25</c:v>
                </c:pt>
                <c:pt idx="2">
                  <c:v>14</c:v>
                </c:pt>
                <c:pt idx="3">
                  <c:v>14</c:v>
                </c:pt>
                <c:pt idx="4">
                  <c:v>34</c:v>
                </c:pt>
                <c:pt idx="5">
                  <c:v>22</c:v>
                </c:pt>
                <c:pt idx="6">
                  <c:v>24</c:v>
                </c:pt>
              </c:numCache>
            </c:numRef>
          </c:val>
          <c:extLst>
            <c:ext xmlns:c16="http://schemas.microsoft.com/office/drawing/2014/chart" uri="{C3380CC4-5D6E-409C-BE32-E72D297353CC}">
              <c16:uniqueId val="{00000011-0329-4721-AE5A-41B54AEEBE70}"/>
            </c:ext>
          </c:extLst>
        </c:ser>
        <c:ser>
          <c:idx val="2"/>
          <c:order val="2"/>
          <c:tx>
            <c:strRef>
              <c:f>Pivot_table!$D$64:$D$65</c:f>
              <c:strCache>
                <c:ptCount val="1"/>
                <c:pt idx="0">
                  <c:v>31-45</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Pivot_table!$A$66:$A$73</c:f>
              <c:strCache>
                <c:ptCount val="7"/>
                <c:pt idx="0">
                  <c:v>Accounting</c:v>
                </c:pt>
                <c:pt idx="1">
                  <c:v>Engineering</c:v>
                </c:pt>
                <c:pt idx="2">
                  <c:v>Finance</c:v>
                </c:pt>
                <c:pt idx="3">
                  <c:v>Human Resources</c:v>
                </c:pt>
                <c:pt idx="4">
                  <c:v>IT</c:v>
                </c:pt>
                <c:pt idx="5">
                  <c:v>Marketing</c:v>
                </c:pt>
                <c:pt idx="6">
                  <c:v>Sales</c:v>
                </c:pt>
              </c:strCache>
            </c:strRef>
          </c:cat>
          <c:val>
            <c:numRef>
              <c:f>Pivot_table!$D$66:$D$73</c:f>
              <c:numCache>
                <c:formatCode>General</c:formatCode>
                <c:ptCount val="7"/>
                <c:pt idx="0">
                  <c:v>38</c:v>
                </c:pt>
                <c:pt idx="1">
                  <c:v>51</c:v>
                </c:pt>
                <c:pt idx="2">
                  <c:v>47</c:v>
                </c:pt>
                <c:pt idx="3">
                  <c:v>58</c:v>
                </c:pt>
                <c:pt idx="4">
                  <c:v>93</c:v>
                </c:pt>
                <c:pt idx="5">
                  <c:v>53</c:v>
                </c:pt>
                <c:pt idx="6">
                  <c:v>54</c:v>
                </c:pt>
              </c:numCache>
            </c:numRef>
          </c:val>
          <c:extLst>
            <c:ext xmlns:c16="http://schemas.microsoft.com/office/drawing/2014/chart" uri="{C3380CC4-5D6E-409C-BE32-E72D297353CC}">
              <c16:uniqueId val="{00000015-0329-4721-AE5A-41B54AEEBE70}"/>
            </c:ext>
          </c:extLst>
        </c:ser>
        <c:ser>
          <c:idx val="3"/>
          <c:order val="3"/>
          <c:tx>
            <c:strRef>
              <c:f>Pivot_table!$E$64:$E$65</c:f>
              <c:strCache>
                <c:ptCount val="1"/>
                <c:pt idx="0">
                  <c:v>46-60</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Pivot_table!$A$66:$A$73</c:f>
              <c:strCache>
                <c:ptCount val="7"/>
                <c:pt idx="0">
                  <c:v>Accounting</c:v>
                </c:pt>
                <c:pt idx="1">
                  <c:v>Engineering</c:v>
                </c:pt>
                <c:pt idx="2">
                  <c:v>Finance</c:v>
                </c:pt>
                <c:pt idx="3">
                  <c:v>Human Resources</c:v>
                </c:pt>
                <c:pt idx="4">
                  <c:v>IT</c:v>
                </c:pt>
                <c:pt idx="5">
                  <c:v>Marketing</c:v>
                </c:pt>
                <c:pt idx="6">
                  <c:v>Sales</c:v>
                </c:pt>
              </c:strCache>
            </c:strRef>
          </c:cat>
          <c:val>
            <c:numRef>
              <c:f>Pivot_table!$E$66:$E$73</c:f>
              <c:numCache>
                <c:formatCode>General</c:formatCode>
                <c:ptCount val="7"/>
                <c:pt idx="0">
                  <c:v>33</c:v>
                </c:pt>
                <c:pt idx="1">
                  <c:v>62</c:v>
                </c:pt>
                <c:pt idx="2">
                  <c:v>39</c:v>
                </c:pt>
                <c:pt idx="3">
                  <c:v>39</c:v>
                </c:pt>
                <c:pt idx="4">
                  <c:v>95</c:v>
                </c:pt>
                <c:pt idx="5">
                  <c:v>29</c:v>
                </c:pt>
                <c:pt idx="6">
                  <c:v>46</c:v>
                </c:pt>
              </c:numCache>
            </c:numRef>
          </c:val>
          <c:extLst>
            <c:ext xmlns:c16="http://schemas.microsoft.com/office/drawing/2014/chart" uri="{C3380CC4-5D6E-409C-BE32-E72D297353CC}">
              <c16:uniqueId val="{00000016-0329-4721-AE5A-41B54AEEBE70}"/>
            </c:ext>
          </c:extLst>
        </c:ser>
        <c:dLbls>
          <c:showLegendKey val="0"/>
          <c:showVal val="1"/>
          <c:showCatName val="0"/>
          <c:showSerName val="0"/>
          <c:showPercent val="0"/>
          <c:showBubbleSize val="0"/>
        </c:dLbls>
        <c:gapWidth val="150"/>
        <c:overlap val="-25"/>
        <c:axId val="1281149024"/>
        <c:axId val="1281165824"/>
      </c:barChart>
      <c:valAx>
        <c:axId val="1281165824"/>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crossAx val="1281149024"/>
        <c:crosses val="autoZero"/>
        <c:crossBetween val="between"/>
      </c:valAx>
      <c:catAx>
        <c:axId val="12811490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1165824"/>
        <c:crosses val="autoZero"/>
        <c:auto val="1"/>
        <c:lblAlgn val="ctr"/>
        <c:lblOffset val="100"/>
        <c:noMultiLvlLbl val="0"/>
      </c:cat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C00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Job</a:t>
            </a:r>
            <a:r>
              <a:rPr lang="en-IN" baseline="0"/>
              <a:t> title vs Emp_count</a:t>
            </a:r>
          </a:p>
        </c:rich>
      </c:tx>
      <c:layout>
        <c:manualLayout>
          <c:xMode val="edge"/>
          <c:yMode val="edge"/>
          <c:x val="0.33912603792334295"/>
          <c:y val="3.98627522737487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Pivot_table!$B$76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A59-4BFD-8A8D-3389DE44A9E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A59-4BFD-8A8D-3389DE44A9E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A59-4BFD-8A8D-3389DE44A9E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A59-4BFD-8A8D-3389DE44A9E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A59-4BFD-8A8D-3389DE44A9E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A59-4BFD-8A8D-3389DE44A9E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A59-4BFD-8A8D-3389DE44A9E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A59-4BFD-8A8D-3389DE44A9E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A59-4BFD-8A8D-3389DE44A9EB}"/>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A59-4BFD-8A8D-3389DE44A9EB}"/>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CA59-4BFD-8A8D-3389DE44A9EB}"/>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CA59-4BFD-8A8D-3389DE44A9EB}"/>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CA59-4BFD-8A8D-3389DE44A9EB}"/>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CA59-4BFD-8A8D-3389DE44A9EB}"/>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CA59-4BFD-8A8D-3389DE44A9EB}"/>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CA59-4BFD-8A8D-3389DE44A9EB}"/>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CA59-4BFD-8A8D-3389DE44A9EB}"/>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CA59-4BFD-8A8D-3389DE44A9EB}"/>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CA59-4BFD-8A8D-3389DE44A9EB}"/>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CA59-4BFD-8A8D-3389DE44A9EB}"/>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CA59-4BFD-8A8D-3389DE44A9EB}"/>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CA59-4BFD-8A8D-3389DE44A9EB}"/>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CA59-4BFD-8A8D-3389DE44A9EB}"/>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CA59-4BFD-8A8D-3389DE44A9EB}"/>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CA59-4BFD-8A8D-3389DE44A9EB}"/>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CA59-4BFD-8A8D-3389DE44A9EB}"/>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CA59-4BFD-8A8D-3389DE44A9EB}"/>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CA59-4BFD-8A8D-3389DE44A9EB}"/>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CA59-4BFD-8A8D-3389DE44A9EB}"/>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CA59-4BFD-8A8D-3389DE44A9EB}"/>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CA59-4BFD-8A8D-3389DE44A9EB}"/>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CA59-4BFD-8A8D-3389DE44A9EB}"/>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CA59-4BFD-8A8D-3389DE44A9EB}"/>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CA59-4BFD-8A8D-3389DE44A9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Pivot_table!$A$77:$A$111</c:f>
              <c:strCache>
                <c:ptCount val="34"/>
                <c:pt idx="0">
                  <c:v>Account Representative</c:v>
                </c:pt>
                <c:pt idx="1">
                  <c:v>Analyst</c:v>
                </c:pt>
                <c:pt idx="2">
                  <c:v>Analyst II</c:v>
                </c:pt>
                <c:pt idx="3">
                  <c:v>Automation Engineer</c:v>
                </c:pt>
                <c:pt idx="4">
                  <c:v>Business Partner</c:v>
                </c:pt>
                <c:pt idx="5">
                  <c:v>Cloud Infrastructure Architect</c:v>
                </c:pt>
                <c:pt idx="6">
                  <c:v>Computer Systems Manager</c:v>
                </c:pt>
                <c:pt idx="7">
                  <c:v>Controls Engineer</c:v>
                </c:pt>
                <c:pt idx="8">
                  <c:v>Development Engineer</c:v>
                </c:pt>
                <c:pt idx="9">
                  <c:v>Director</c:v>
                </c:pt>
                <c:pt idx="10">
                  <c:v>Engineering Manager</c:v>
                </c:pt>
                <c:pt idx="11">
                  <c:v>Enterprise Architect</c:v>
                </c:pt>
                <c:pt idx="12">
                  <c:v>Field Engineer</c:v>
                </c:pt>
                <c:pt idx="13">
                  <c:v>HRIS Analyst</c:v>
                </c:pt>
                <c:pt idx="14">
                  <c:v>IT Coordinator</c:v>
                </c:pt>
                <c:pt idx="15">
                  <c:v>IT Systems Architect</c:v>
                </c:pt>
                <c:pt idx="16">
                  <c:v>Manager</c:v>
                </c:pt>
                <c:pt idx="17">
                  <c:v>Manager  </c:v>
                </c:pt>
                <c:pt idx="18">
                  <c:v>Network Administrator</c:v>
                </c:pt>
                <c:pt idx="19">
                  <c:v>Network Architect</c:v>
                </c:pt>
                <c:pt idx="20">
                  <c:v>Network Engineer</c:v>
                </c:pt>
                <c:pt idx="21">
                  <c:v>Operations Engineer</c:v>
                </c:pt>
                <c:pt idx="22">
                  <c:v>Quality Engineer</c:v>
                </c:pt>
                <c:pt idx="23">
                  <c:v>Service Desk Analyst</c:v>
                </c:pt>
                <c:pt idx="24">
                  <c:v>Solutions Architect</c:v>
                </c:pt>
                <c:pt idx="25">
                  <c:v>Sr. Account Representative</c:v>
                </c:pt>
                <c:pt idx="26">
                  <c:v>Sr. Analyst</c:v>
                </c:pt>
                <c:pt idx="27">
                  <c:v>Sr. Business Partner</c:v>
                </c:pt>
                <c:pt idx="28">
                  <c:v>Sr. Manger</c:v>
                </c:pt>
                <c:pt idx="29">
                  <c:v>System Administrator </c:v>
                </c:pt>
                <c:pt idx="30">
                  <c:v>Systems Analyst</c:v>
                </c:pt>
                <c:pt idx="31">
                  <c:v>Technical Architect</c:v>
                </c:pt>
                <c:pt idx="32">
                  <c:v>Test Engineer</c:v>
                </c:pt>
                <c:pt idx="33">
                  <c:v>Vice President</c:v>
                </c:pt>
              </c:strCache>
            </c:strRef>
          </c:cat>
          <c:val>
            <c:numRef>
              <c:f>Pivot_table!$B$77:$B$111</c:f>
              <c:numCache>
                <c:formatCode>General</c:formatCode>
                <c:ptCount val="34"/>
                <c:pt idx="0">
                  <c:v>21</c:v>
                </c:pt>
                <c:pt idx="1">
                  <c:v>51</c:v>
                </c:pt>
                <c:pt idx="2">
                  <c:v>53</c:v>
                </c:pt>
                <c:pt idx="3">
                  <c:v>7</c:v>
                </c:pt>
                <c:pt idx="4">
                  <c:v>19</c:v>
                </c:pt>
                <c:pt idx="5">
                  <c:v>15</c:v>
                </c:pt>
                <c:pt idx="6">
                  <c:v>21</c:v>
                </c:pt>
                <c:pt idx="7">
                  <c:v>15</c:v>
                </c:pt>
                <c:pt idx="8">
                  <c:v>19</c:v>
                </c:pt>
                <c:pt idx="9">
                  <c:v>121</c:v>
                </c:pt>
                <c:pt idx="10">
                  <c:v>20</c:v>
                </c:pt>
                <c:pt idx="11">
                  <c:v>18</c:v>
                </c:pt>
                <c:pt idx="12">
                  <c:v>21</c:v>
                </c:pt>
                <c:pt idx="13">
                  <c:v>16</c:v>
                </c:pt>
                <c:pt idx="14">
                  <c:v>11</c:v>
                </c:pt>
                <c:pt idx="15">
                  <c:v>12</c:v>
                </c:pt>
                <c:pt idx="16">
                  <c:v>97</c:v>
                </c:pt>
                <c:pt idx="17">
                  <c:v>1</c:v>
                </c:pt>
                <c:pt idx="18">
                  <c:v>10</c:v>
                </c:pt>
                <c:pt idx="19">
                  <c:v>18</c:v>
                </c:pt>
                <c:pt idx="20">
                  <c:v>7</c:v>
                </c:pt>
                <c:pt idx="21">
                  <c:v>12</c:v>
                </c:pt>
                <c:pt idx="22">
                  <c:v>20</c:v>
                </c:pt>
                <c:pt idx="23">
                  <c:v>10</c:v>
                </c:pt>
                <c:pt idx="24">
                  <c:v>15</c:v>
                </c:pt>
                <c:pt idx="25">
                  <c:v>9</c:v>
                </c:pt>
                <c:pt idx="26">
                  <c:v>70</c:v>
                </c:pt>
                <c:pt idx="27">
                  <c:v>17</c:v>
                </c:pt>
                <c:pt idx="28">
                  <c:v>110</c:v>
                </c:pt>
                <c:pt idx="29">
                  <c:v>15</c:v>
                </c:pt>
                <c:pt idx="30">
                  <c:v>15</c:v>
                </c:pt>
                <c:pt idx="31">
                  <c:v>17</c:v>
                </c:pt>
                <c:pt idx="32">
                  <c:v>12</c:v>
                </c:pt>
                <c:pt idx="33">
                  <c:v>105</c:v>
                </c:pt>
              </c:numCache>
            </c:numRef>
          </c:val>
          <c:extLst>
            <c:ext xmlns:c16="http://schemas.microsoft.com/office/drawing/2014/chart" uri="{C3380CC4-5D6E-409C-BE32-E72D297353CC}">
              <c16:uniqueId val="{00000044-CA59-4BFD-8A8D-3389DE44A9EB}"/>
            </c:ext>
          </c:extLst>
        </c:ser>
        <c:dLbls>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C00000">
          <a:alpha val="0"/>
        </a:srgb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Salary</a:t>
            </a:r>
            <a:r>
              <a:rPr lang="en-IN" baseline="0"/>
              <a:t> composition Dept. Vs Job title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Pivot_table!$B$118:$B$119</c:f>
              <c:strCache>
                <c:ptCount val="1"/>
                <c:pt idx="0">
                  <c:v>Accounting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Pivot_table!$A$120:$A$154</c:f>
              <c:strCache>
                <c:ptCount val="34"/>
                <c:pt idx="0">
                  <c:v>Account Representative</c:v>
                </c:pt>
                <c:pt idx="1">
                  <c:v>Analyst</c:v>
                </c:pt>
                <c:pt idx="2">
                  <c:v>Analyst II</c:v>
                </c:pt>
                <c:pt idx="3">
                  <c:v>Automation Engineer</c:v>
                </c:pt>
                <c:pt idx="4">
                  <c:v>Business Partner</c:v>
                </c:pt>
                <c:pt idx="5">
                  <c:v>Cloud Infrastructure Architect</c:v>
                </c:pt>
                <c:pt idx="6">
                  <c:v>Computer Systems Manager</c:v>
                </c:pt>
                <c:pt idx="7">
                  <c:v>Controls Engineer</c:v>
                </c:pt>
                <c:pt idx="8">
                  <c:v>Development Engineer</c:v>
                </c:pt>
                <c:pt idx="9">
                  <c:v>Director</c:v>
                </c:pt>
                <c:pt idx="10">
                  <c:v>Engineering Manager</c:v>
                </c:pt>
                <c:pt idx="11">
                  <c:v>Enterprise Architect</c:v>
                </c:pt>
                <c:pt idx="12">
                  <c:v>Field Engineer</c:v>
                </c:pt>
                <c:pt idx="13">
                  <c:v>HRIS Analyst</c:v>
                </c:pt>
                <c:pt idx="14">
                  <c:v>IT Coordinator</c:v>
                </c:pt>
                <c:pt idx="15">
                  <c:v>IT Systems Architect</c:v>
                </c:pt>
                <c:pt idx="16">
                  <c:v>Manager</c:v>
                </c:pt>
                <c:pt idx="17">
                  <c:v>Manager  </c:v>
                </c:pt>
                <c:pt idx="18">
                  <c:v>Network Administrator</c:v>
                </c:pt>
                <c:pt idx="19">
                  <c:v>Network Architect</c:v>
                </c:pt>
                <c:pt idx="20">
                  <c:v>Network Engineer</c:v>
                </c:pt>
                <c:pt idx="21">
                  <c:v>Operations Engineer</c:v>
                </c:pt>
                <c:pt idx="22">
                  <c:v>Quality Engineer</c:v>
                </c:pt>
                <c:pt idx="23">
                  <c:v>Service Desk Analyst</c:v>
                </c:pt>
                <c:pt idx="24">
                  <c:v>Solutions Architect</c:v>
                </c:pt>
                <c:pt idx="25">
                  <c:v>Sr. Account Representative</c:v>
                </c:pt>
                <c:pt idx="26">
                  <c:v>Sr. Analyst</c:v>
                </c:pt>
                <c:pt idx="27">
                  <c:v>Sr. Business Partner</c:v>
                </c:pt>
                <c:pt idx="28">
                  <c:v>Sr. Manger</c:v>
                </c:pt>
                <c:pt idx="29">
                  <c:v>System Administrator </c:v>
                </c:pt>
                <c:pt idx="30">
                  <c:v>Systems Analyst</c:v>
                </c:pt>
                <c:pt idx="31">
                  <c:v>Technical Architect</c:v>
                </c:pt>
                <c:pt idx="32">
                  <c:v>Test Engineer</c:v>
                </c:pt>
                <c:pt idx="33">
                  <c:v>Vice President</c:v>
                </c:pt>
              </c:strCache>
            </c:strRef>
          </c:cat>
          <c:val>
            <c:numRef>
              <c:f>Pivot_table!$B$120:$B$154</c:f>
              <c:numCache>
                <c:formatCode>"$"#,##0_);\("$"#,##0\);"$"0_)</c:formatCode>
                <c:ptCount val="34"/>
                <c:pt idx="1">
                  <c:v>743293</c:v>
                </c:pt>
                <c:pt idx="2">
                  <c:v>411988</c:v>
                </c:pt>
                <c:pt idx="9">
                  <c:v>2837981</c:v>
                </c:pt>
                <c:pt idx="16">
                  <c:v>1891192</c:v>
                </c:pt>
                <c:pt idx="26">
                  <c:v>1667290</c:v>
                </c:pt>
                <c:pt idx="28">
                  <c:v>1574951</c:v>
                </c:pt>
                <c:pt idx="33">
                  <c:v>2695412</c:v>
                </c:pt>
              </c:numCache>
            </c:numRef>
          </c:val>
          <c:extLst>
            <c:ext xmlns:c16="http://schemas.microsoft.com/office/drawing/2014/chart" uri="{C3380CC4-5D6E-409C-BE32-E72D297353CC}">
              <c16:uniqueId val="{00000000-0533-4888-9213-3DF5F50B5EDE}"/>
            </c:ext>
          </c:extLst>
        </c:ser>
        <c:ser>
          <c:idx val="1"/>
          <c:order val="1"/>
          <c:tx>
            <c:strRef>
              <c:f>Pivot_table!$C$118:$C$119</c:f>
              <c:strCache>
                <c:ptCount val="1"/>
                <c:pt idx="0">
                  <c:v>Engineering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Pivot_table!$A$120:$A$154</c:f>
              <c:strCache>
                <c:ptCount val="34"/>
                <c:pt idx="0">
                  <c:v>Account Representative</c:v>
                </c:pt>
                <c:pt idx="1">
                  <c:v>Analyst</c:v>
                </c:pt>
                <c:pt idx="2">
                  <c:v>Analyst II</c:v>
                </c:pt>
                <c:pt idx="3">
                  <c:v>Automation Engineer</c:v>
                </c:pt>
                <c:pt idx="4">
                  <c:v>Business Partner</c:v>
                </c:pt>
                <c:pt idx="5">
                  <c:v>Cloud Infrastructure Architect</c:v>
                </c:pt>
                <c:pt idx="6">
                  <c:v>Computer Systems Manager</c:v>
                </c:pt>
                <c:pt idx="7">
                  <c:v>Controls Engineer</c:v>
                </c:pt>
                <c:pt idx="8">
                  <c:v>Development Engineer</c:v>
                </c:pt>
                <c:pt idx="9">
                  <c:v>Director</c:v>
                </c:pt>
                <c:pt idx="10">
                  <c:v>Engineering Manager</c:v>
                </c:pt>
                <c:pt idx="11">
                  <c:v>Enterprise Architect</c:v>
                </c:pt>
                <c:pt idx="12">
                  <c:v>Field Engineer</c:v>
                </c:pt>
                <c:pt idx="13">
                  <c:v>HRIS Analyst</c:v>
                </c:pt>
                <c:pt idx="14">
                  <c:v>IT Coordinator</c:v>
                </c:pt>
                <c:pt idx="15">
                  <c:v>IT Systems Architect</c:v>
                </c:pt>
                <c:pt idx="16">
                  <c:v>Manager</c:v>
                </c:pt>
                <c:pt idx="17">
                  <c:v>Manager  </c:v>
                </c:pt>
                <c:pt idx="18">
                  <c:v>Network Administrator</c:v>
                </c:pt>
                <c:pt idx="19">
                  <c:v>Network Architect</c:v>
                </c:pt>
                <c:pt idx="20">
                  <c:v>Network Engineer</c:v>
                </c:pt>
                <c:pt idx="21">
                  <c:v>Operations Engineer</c:v>
                </c:pt>
                <c:pt idx="22">
                  <c:v>Quality Engineer</c:v>
                </c:pt>
                <c:pt idx="23">
                  <c:v>Service Desk Analyst</c:v>
                </c:pt>
                <c:pt idx="24">
                  <c:v>Solutions Architect</c:v>
                </c:pt>
                <c:pt idx="25">
                  <c:v>Sr. Account Representative</c:v>
                </c:pt>
                <c:pt idx="26">
                  <c:v>Sr. Analyst</c:v>
                </c:pt>
                <c:pt idx="27">
                  <c:v>Sr. Business Partner</c:v>
                </c:pt>
                <c:pt idx="28">
                  <c:v>Sr. Manger</c:v>
                </c:pt>
                <c:pt idx="29">
                  <c:v>System Administrator </c:v>
                </c:pt>
                <c:pt idx="30">
                  <c:v>Systems Analyst</c:v>
                </c:pt>
                <c:pt idx="31">
                  <c:v>Technical Architect</c:v>
                </c:pt>
                <c:pt idx="32">
                  <c:v>Test Engineer</c:v>
                </c:pt>
                <c:pt idx="33">
                  <c:v>Vice President</c:v>
                </c:pt>
              </c:strCache>
            </c:strRef>
          </c:cat>
          <c:val>
            <c:numRef>
              <c:f>Pivot_table!$C$120:$C$154</c:f>
              <c:numCache>
                <c:formatCode>"$"#,##0_);\("$"#,##0\);"$"0_)</c:formatCode>
                <c:ptCount val="34"/>
                <c:pt idx="3">
                  <c:v>665748</c:v>
                </c:pt>
                <c:pt idx="7">
                  <c:v>1494392</c:v>
                </c:pt>
                <c:pt idx="8">
                  <c:v>1479895</c:v>
                </c:pt>
                <c:pt idx="9">
                  <c:v>3658741</c:v>
                </c:pt>
                <c:pt idx="10">
                  <c:v>2003777</c:v>
                </c:pt>
                <c:pt idx="12">
                  <c:v>1657508</c:v>
                </c:pt>
                <c:pt idx="21">
                  <c:v>1213623</c:v>
                </c:pt>
                <c:pt idx="22">
                  <c:v>1671288</c:v>
                </c:pt>
                <c:pt idx="32">
                  <c:v>894610</c:v>
                </c:pt>
                <c:pt idx="33">
                  <c:v>2454682</c:v>
                </c:pt>
              </c:numCache>
            </c:numRef>
          </c:val>
          <c:extLst>
            <c:ext xmlns:c16="http://schemas.microsoft.com/office/drawing/2014/chart" uri="{C3380CC4-5D6E-409C-BE32-E72D297353CC}">
              <c16:uniqueId val="{00000013-0533-4888-9213-3DF5F50B5EDE}"/>
            </c:ext>
          </c:extLst>
        </c:ser>
        <c:ser>
          <c:idx val="2"/>
          <c:order val="2"/>
          <c:tx>
            <c:strRef>
              <c:f>Pivot_table!$D$118:$D$119</c:f>
              <c:strCache>
                <c:ptCount val="1"/>
                <c:pt idx="0">
                  <c:v>Finance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Pivot_table!$A$120:$A$154</c:f>
              <c:strCache>
                <c:ptCount val="34"/>
                <c:pt idx="0">
                  <c:v>Account Representative</c:v>
                </c:pt>
                <c:pt idx="1">
                  <c:v>Analyst</c:v>
                </c:pt>
                <c:pt idx="2">
                  <c:v>Analyst II</c:v>
                </c:pt>
                <c:pt idx="3">
                  <c:v>Automation Engineer</c:v>
                </c:pt>
                <c:pt idx="4">
                  <c:v>Business Partner</c:v>
                </c:pt>
                <c:pt idx="5">
                  <c:v>Cloud Infrastructure Architect</c:v>
                </c:pt>
                <c:pt idx="6">
                  <c:v>Computer Systems Manager</c:v>
                </c:pt>
                <c:pt idx="7">
                  <c:v>Controls Engineer</c:v>
                </c:pt>
                <c:pt idx="8">
                  <c:v>Development Engineer</c:v>
                </c:pt>
                <c:pt idx="9">
                  <c:v>Director</c:v>
                </c:pt>
                <c:pt idx="10">
                  <c:v>Engineering Manager</c:v>
                </c:pt>
                <c:pt idx="11">
                  <c:v>Enterprise Architect</c:v>
                </c:pt>
                <c:pt idx="12">
                  <c:v>Field Engineer</c:v>
                </c:pt>
                <c:pt idx="13">
                  <c:v>HRIS Analyst</c:v>
                </c:pt>
                <c:pt idx="14">
                  <c:v>IT Coordinator</c:v>
                </c:pt>
                <c:pt idx="15">
                  <c:v>IT Systems Architect</c:v>
                </c:pt>
                <c:pt idx="16">
                  <c:v>Manager</c:v>
                </c:pt>
                <c:pt idx="17">
                  <c:v>Manager  </c:v>
                </c:pt>
                <c:pt idx="18">
                  <c:v>Network Administrator</c:v>
                </c:pt>
                <c:pt idx="19">
                  <c:v>Network Architect</c:v>
                </c:pt>
                <c:pt idx="20">
                  <c:v>Network Engineer</c:v>
                </c:pt>
                <c:pt idx="21">
                  <c:v>Operations Engineer</c:v>
                </c:pt>
                <c:pt idx="22">
                  <c:v>Quality Engineer</c:v>
                </c:pt>
                <c:pt idx="23">
                  <c:v>Service Desk Analyst</c:v>
                </c:pt>
                <c:pt idx="24">
                  <c:v>Solutions Architect</c:v>
                </c:pt>
                <c:pt idx="25">
                  <c:v>Sr. Account Representative</c:v>
                </c:pt>
                <c:pt idx="26">
                  <c:v>Sr. Analyst</c:v>
                </c:pt>
                <c:pt idx="27">
                  <c:v>Sr. Business Partner</c:v>
                </c:pt>
                <c:pt idx="28">
                  <c:v>Sr. Manger</c:v>
                </c:pt>
                <c:pt idx="29">
                  <c:v>System Administrator </c:v>
                </c:pt>
                <c:pt idx="30">
                  <c:v>Systems Analyst</c:v>
                </c:pt>
                <c:pt idx="31">
                  <c:v>Technical Architect</c:v>
                </c:pt>
                <c:pt idx="32">
                  <c:v>Test Engineer</c:v>
                </c:pt>
                <c:pt idx="33">
                  <c:v>Vice President</c:v>
                </c:pt>
              </c:strCache>
            </c:strRef>
          </c:cat>
          <c:val>
            <c:numRef>
              <c:f>Pivot_table!$D$120:$D$154</c:f>
              <c:numCache>
                <c:formatCode>"$"#,##0_);\("$"#,##0\);"$"0_)</c:formatCode>
                <c:ptCount val="34"/>
                <c:pt idx="1">
                  <c:v>732544</c:v>
                </c:pt>
                <c:pt idx="2">
                  <c:v>1182054</c:v>
                </c:pt>
                <c:pt idx="9">
                  <c:v>2865437</c:v>
                </c:pt>
                <c:pt idx="16">
                  <c:v>1925446</c:v>
                </c:pt>
                <c:pt idx="26">
                  <c:v>1034150</c:v>
                </c:pt>
                <c:pt idx="28">
                  <c:v>3400337</c:v>
                </c:pt>
                <c:pt idx="33">
                  <c:v>3596379</c:v>
                </c:pt>
              </c:numCache>
            </c:numRef>
          </c:val>
          <c:extLst>
            <c:ext xmlns:c16="http://schemas.microsoft.com/office/drawing/2014/chart" uri="{C3380CC4-5D6E-409C-BE32-E72D297353CC}">
              <c16:uniqueId val="{00000014-0533-4888-9213-3DF5F50B5EDE}"/>
            </c:ext>
          </c:extLst>
        </c:ser>
        <c:ser>
          <c:idx val="3"/>
          <c:order val="3"/>
          <c:tx>
            <c:strRef>
              <c:f>Pivot_table!$E$118:$E$119</c:f>
              <c:strCache>
                <c:ptCount val="1"/>
                <c:pt idx="0">
                  <c:v>Human Resources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Pivot_table!$A$120:$A$154</c:f>
              <c:strCache>
                <c:ptCount val="34"/>
                <c:pt idx="0">
                  <c:v>Account Representative</c:v>
                </c:pt>
                <c:pt idx="1">
                  <c:v>Analyst</c:v>
                </c:pt>
                <c:pt idx="2">
                  <c:v>Analyst II</c:v>
                </c:pt>
                <c:pt idx="3">
                  <c:v>Automation Engineer</c:v>
                </c:pt>
                <c:pt idx="4">
                  <c:v>Business Partner</c:v>
                </c:pt>
                <c:pt idx="5">
                  <c:v>Cloud Infrastructure Architect</c:v>
                </c:pt>
                <c:pt idx="6">
                  <c:v>Computer Systems Manager</c:v>
                </c:pt>
                <c:pt idx="7">
                  <c:v>Controls Engineer</c:v>
                </c:pt>
                <c:pt idx="8">
                  <c:v>Development Engineer</c:v>
                </c:pt>
                <c:pt idx="9">
                  <c:v>Director</c:v>
                </c:pt>
                <c:pt idx="10">
                  <c:v>Engineering Manager</c:v>
                </c:pt>
                <c:pt idx="11">
                  <c:v>Enterprise Architect</c:v>
                </c:pt>
                <c:pt idx="12">
                  <c:v>Field Engineer</c:v>
                </c:pt>
                <c:pt idx="13">
                  <c:v>HRIS Analyst</c:v>
                </c:pt>
                <c:pt idx="14">
                  <c:v>IT Coordinator</c:v>
                </c:pt>
                <c:pt idx="15">
                  <c:v>IT Systems Architect</c:v>
                </c:pt>
                <c:pt idx="16">
                  <c:v>Manager</c:v>
                </c:pt>
                <c:pt idx="17">
                  <c:v>Manager  </c:v>
                </c:pt>
                <c:pt idx="18">
                  <c:v>Network Administrator</c:v>
                </c:pt>
                <c:pt idx="19">
                  <c:v>Network Architect</c:v>
                </c:pt>
                <c:pt idx="20">
                  <c:v>Network Engineer</c:v>
                </c:pt>
                <c:pt idx="21">
                  <c:v>Operations Engineer</c:v>
                </c:pt>
                <c:pt idx="22">
                  <c:v>Quality Engineer</c:v>
                </c:pt>
                <c:pt idx="23">
                  <c:v>Service Desk Analyst</c:v>
                </c:pt>
                <c:pt idx="24">
                  <c:v>Solutions Architect</c:v>
                </c:pt>
                <c:pt idx="25">
                  <c:v>Sr. Account Representative</c:v>
                </c:pt>
                <c:pt idx="26">
                  <c:v>Sr. Analyst</c:v>
                </c:pt>
                <c:pt idx="27">
                  <c:v>Sr. Business Partner</c:v>
                </c:pt>
                <c:pt idx="28">
                  <c:v>Sr. Manger</c:v>
                </c:pt>
                <c:pt idx="29">
                  <c:v>System Administrator </c:v>
                </c:pt>
                <c:pt idx="30">
                  <c:v>Systems Analyst</c:v>
                </c:pt>
                <c:pt idx="31">
                  <c:v>Technical Architect</c:v>
                </c:pt>
                <c:pt idx="32">
                  <c:v>Test Engineer</c:v>
                </c:pt>
                <c:pt idx="33">
                  <c:v>Vice President</c:v>
                </c:pt>
              </c:strCache>
            </c:strRef>
          </c:cat>
          <c:val>
            <c:numRef>
              <c:f>Pivot_table!$E$120:$E$154</c:f>
              <c:numCache>
                <c:formatCode>"$"#,##0_);\("$"#,##0\);"$"0_)</c:formatCode>
                <c:ptCount val="34"/>
                <c:pt idx="4">
                  <c:v>941636</c:v>
                </c:pt>
                <c:pt idx="9">
                  <c:v>3252635</c:v>
                </c:pt>
                <c:pt idx="13">
                  <c:v>988166</c:v>
                </c:pt>
                <c:pt idx="16">
                  <c:v>2115070</c:v>
                </c:pt>
                <c:pt idx="27">
                  <c:v>1445601</c:v>
                </c:pt>
                <c:pt idx="28">
                  <c:v>2785069</c:v>
                </c:pt>
                <c:pt idx="33">
                  <c:v>3229128</c:v>
                </c:pt>
              </c:numCache>
            </c:numRef>
          </c:val>
          <c:extLst>
            <c:ext xmlns:c16="http://schemas.microsoft.com/office/drawing/2014/chart" uri="{C3380CC4-5D6E-409C-BE32-E72D297353CC}">
              <c16:uniqueId val="{00000015-0533-4888-9213-3DF5F50B5EDE}"/>
            </c:ext>
          </c:extLst>
        </c:ser>
        <c:ser>
          <c:idx val="4"/>
          <c:order val="4"/>
          <c:tx>
            <c:strRef>
              <c:f>Pivot_table!$F$118:$F$119</c:f>
              <c:strCache>
                <c:ptCount val="1"/>
                <c:pt idx="0">
                  <c:v>IT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Pivot_table!$A$120:$A$154</c:f>
              <c:strCache>
                <c:ptCount val="34"/>
                <c:pt idx="0">
                  <c:v>Account Representative</c:v>
                </c:pt>
                <c:pt idx="1">
                  <c:v>Analyst</c:v>
                </c:pt>
                <c:pt idx="2">
                  <c:v>Analyst II</c:v>
                </c:pt>
                <c:pt idx="3">
                  <c:v>Automation Engineer</c:v>
                </c:pt>
                <c:pt idx="4">
                  <c:v>Business Partner</c:v>
                </c:pt>
                <c:pt idx="5">
                  <c:v>Cloud Infrastructure Architect</c:v>
                </c:pt>
                <c:pt idx="6">
                  <c:v>Computer Systems Manager</c:v>
                </c:pt>
                <c:pt idx="7">
                  <c:v>Controls Engineer</c:v>
                </c:pt>
                <c:pt idx="8">
                  <c:v>Development Engineer</c:v>
                </c:pt>
                <c:pt idx="9">
                  <c:v>Director</c:v>
                </c:pt>
                <c:pt idx="10">
                  <c:v>Engineering Manager</c:v>
                </c:pt>
                <c:pt idx="11">
                  <c:v>Enterprise Architect</c:v>
                </c:pt>
                <c:pt idx="12">
                  <c:v>Field Engineer</c:v>
                </c:pt>
                <c:pt idx="13">
                  <c:v>HRIS Analyst</c:v>
                </c:pt>
                <c:pt idx="14">
                  <c:v>IT Coordinator</c:v>
                </c:pt>
                <c:pt idx="15">
                  <c:v>IT Systems Architect</c:v>
                </c:pt>
                <c:pt idx="16">
                  <c:v>Manager</c:v>
                </c:pt>
                <c:pt idx="17">
                  <c:v>Manager  </c:v>
                </c:pt>
                <c:pt idx="18">
                  <c:v>Network Administrator</c:v>
                </c:pt>
                <c:pt idx="19">
                  <c:v>Network Architect</c:v>
                </c:pt>
                <c:pt idx="20">
                  <c:v>Network Engineer</c:v>
                </c:pt>
                <c:pt idx="21">
                  <c:v>Operations Engineer</c:v>
                </c:pt>
                <c:pt idx="22">
                  <c:v>Quality Engineer</c:v>
                </c:pt>
                <c:pt idx="23">
                  <c:v>Service Desk Analyst</c:v>
                </c:pt>
                <c:pt idx="24">
                  <c:v>Solutions Architect</c:v>
                </c:pt>
                <c:pt idx="25">
                  <c:v>Sr. Account Representative</c:v>
                </c:pt>
                <c:pt idx="26">
                  <c:v>Sr. Analyst</c:v>
                </c:pt>
                <c:pt idx="27">
                  <c:v>Sr. Business Partner</c:v>
                </c:pt>
                <c:pt idx="28">
                  <c:v>Sr. Manger</c:v>
                </c:pt>
                <c:pt idx="29">
                  <c:v>System Administrator </c:v>
                </c:pt>
                <c:pt idx="30">
                  <c:v>Systems Analyst</c:v>
                </c:pt>
                <c:pt idx="31">
                  <c:v>Technical Architect</c:v>
                </c:pt>
                <c:pt idx="32">
                  <c:v>Test Engineer</c:v>
                </c:pt>
                <c:pt idx="33">
                  <c:v>Vice President</c:v>
                </c:pt>
              </c:strCache>
            </c:strRef>
          </c:cat>
          <c:val>
            <c:numRef>
              <c:f>Pivot_table!$F$120:$F$154</c:f>
              <c:numCache>
                <c:formatCode>"$"#,##0_);\("$"#,##0\);"$"0_)</c:formatCode>
                <c:ptCount val="34"/>
                <c:pt idx="5">
                  <c:v>1304420</c:v>
                </c:pt>
                <c:pt idx="6">
                  <c:v>1687283</c:v>
                </c:pt>
                <c:pt idx="9">
                  <c:v>1860072</c:v>
                </c:pt>
                <c:pt idx="11">
                  <c:v>1524576</c:v>
                </c:pt>
                <c:pt idx="14">
                  <c:v>528269</c:v>
                </c:pt>
                <c:pt idx="15">
                  <c:v>977962</c:v>
                </c:pt>
                <c:pt idx="16">
                  <c:v>1150232</c:v>
                </c:pt>
                <c:pt idx="17">
                  <c:v>122802</c:v>
                </c:pt>
                <c:pt idx="18">
                  <c:v>759084</c:v>
                </c:pt>
                <c:pt idx="19">
                  <c:v>1441666</c:v>
                </c:pt>
                <c:pt idx="20">
                  <c:v>519202</c:v>
                </c:pt>
                <c:pt idx="23">
                  <c:v>823292</c:v>
                </c:pt>
                <c:pt idx="24">
                  <c:v>1172449</c:v>
                </c:pt>
                <c:pt idx="28">
                  <c:v>2192452</c:v>
                </c:pt>
                <c:pt idx="29">
                  <c:v>1197790</c:v>
                </c:pt>
                <c:pt idx="30">
                  <c:v>707010</c:v>
                </c:pt>
                <c:pt idx="31">
                  <c:v>1356155</c:v>
                </c:pt>
                <c:pt idx="33">
                  <c:v>4217974</c:v>
                </c:pt>
              </c:numCache>
            </c:numRef>
          </c:val>
          <c:extLst>
            <c:ext xmlns:c16="http://schemas.microsoft.com/office/drawing/2014/chart" uri="{C3380CC4-5D6E-409C-BE32-E72D297353CC}">
              <c16:uniqueId val="{0000001B-0533-4888-9213-3DF5F50B5EDE}"/>
            </c:ext>
          </c:extLst>
        </c:ser>
        <c:ser>
          <c:idx val="5"/>
          <c:order val="5"/>
          <c:tx>
            <c:strRef>
              <c:f>Pivot_table!$G$118:$G$119</c:f>
              <c:strCache>
                <c:ptCount val="1"/>
                <c:pt idx="0">
                  <c:v>Marketing</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Pivot_table!$A$120:$A$154</c:f>
              <c:strCache>
                <c:ptCount val="34"/>
                <c:pt idx="0">
                  <c:v>Account Representative</c:v>
                </c:pt>
                <c:pt idx="1">
                  <c:v>Analyst</c:v>
                </c:pt>
                <c:pt idx="2">
                  <c:v>Analyst II</c:v>
                </c:pt>
                <c:pt idx="3">
                  <c:v>Automation Engineer</c:v>
                </c:pt>
                <c:pt idx="4">
                  <c:v>Business Partner</c:v>
                </c:pt>
                <c:pt idx="5">
                  <c:v>Cloud Infrastructure Architect</c:v>
                </c:pt>
                <c:pt idx="6">
                  <c:v>Computer Systems Manager</c:v>
                </c:pt>
                <c:pt idx="7">
                  <c:v>Controls Engineer</c:v>
                </c:pt>
                <c:pt idx="8">
                  <c:v>Development Engineer</c:v>
                </c:pt>
                <c:pt idx="9">
                  <c:v>Director</c:v>
                </c:pt>
                <c:pt idx="10">
                  <c:v>Engineering Manager</c:v>
                </c:pt>
                <c:pt idx="11">
                  <c:v>Enterprise Architect</c:v>
                </c:pt>
                <c:pt idx="12">
                  <c:v>Field Engineer</c:v>
                </c:pt>
                <c:pt idx="13">
                  <c:v>HRIS Analyst</c:v>
                </c:pt>
                <c:pt idx="14">
                  <c:v>IT Coordinator</c:v>
                </c:pt>
                <c:pt idx="15">
                  <c:v>IT Systems Architect</c:v>
                </c:pt>
                <c:pt idx="16">
                  <c:v>Manager</c:v>
                </c:pt>
                <c:pt idx="17">
                  <c:v>Manager  </c:v>
                </c:pt>
                <c:pt idx="18">
                  <c:v>Network Administrator</c:v>
                </c:pt>
                <c:pt idx="19">
                  <c:v>Network Architect</c:v>
                </c:pt>
                <c:pt idx="20">
                  <c:v>Network Engineer</c:v>
                </c:pt>
                <c:pt idx="21">
                  <c:v>Operations Engineer</c:v>
                </c:pt>
                <c:pt idx="22">
                  <c:v>Quality Engineer</c:v>
                </c:pt>
                <c:pt idx="23">
                  <c:v>Service Desk Analyst</c:v>
                </c:pt>
                <c:pt idx="24">
                  <c:v>Solutions Architect</c:v>
                </c:pt>
                <c:pt idx="25">
                  <c:v>Sr. Account Representative</c:v>
                </c:pt>
                <c:pt idx="26">
                  <c:v>Sr. Analyst</c:v>
                </c:pt>
                <c:pt idx="27">
                  <c:v>Sr. Business Partner</c:v>
                </c:pt>
                <c:pt idx="28">
                  <c:v>Sr. Manger</c:v>
                </c:pt>
                <c:pt idx="29">
                  <c:v>System Administrator </c:v>
                </c:pt>
                <c:pt idx="30">
                  <c:v>Systems Analyst</c:v>
                </c:pt>
                <c:pt idx="31">
                  <c:v>Technical Architect</c:v>
                </c:pt>
                <c:pt idx="32">
                  <c:v>Test Engineer</c:v>
                </c:pt>
                <c:pt idx="33">
                  <c:v>Vice President</c:v>
                </c:pt>
              </c:strCache>
            </c:strRef>
          </c:cat>
          <c:val>
            <c:numRef>
              <c:f>Pivot_table!$G$120:$G$154</c:f>
              <c:numCache>
                <c:formatCode>"$"#,##0_);\("$"#,##0\);"$"0_)</c:formatCode>
                <c:ptCount val="34"/>
                <c:pt idx="1">
                  <c:v>574682</c:v>
                </c:pt>
                <c:pt idx="2">
                  <c:v>859165</c:v>
                </c:pt>
                <c:pt idx="9">
                  <c:v>3105740</c:v>
                </c:pt>
                <c:pt idx="16">
                  <c:v>2181784</c:v>
                </c:pt>
                <c:pt idx="26">
                  <c:v>1550777</c:v>
                </c:pt>
                <c:pt idx="28">
                  <c:v>2832516</c:v>
                </c:pt>
                <c:pt idx="33">
                  <c:v>4454900</c:v>
                </c:pt>
              </c:numCache>
            </c:numRef>
          </c:val>
          <c:extLst>
            <c:ext xmlns:c16="http://schemas.microsoft.com/office/drawing/2014/chart" uri="{C3380CC4-5D6E-409C-BE32-E72D297353CC}">
              <c16:uniqueId val="{0000001C-0533-4888-9213-3DF5F50B5EDE}"/>
            </c:ext>
          </c:extLst>
        </c:ser>
        <c:ser>
          <c:idx val="6"/>
          <c:order val="6"/>
          <c:tx>
            <c:strRef>
              <c:f>Pivot_table!$H$118:$H$119</c:f>
              <c:strCache>
                <c:ptCount val="1"/>
                <c:pt idx="0">
                  <c:v>Sales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Pivot_table!$A$120:$A$154</c:f>
              <c:strCache>
                <c:ptCount val="34"/>
                <c:pt idx="0">
                  <c:v>Account Representative</c:v>
                </c:pt>
                <c:pt idx="1">
                  <c:v>Analyst</c:v>
                </c:pt>
                <c:pt idx="2">
                  <c:v>Analyst II</c:v>
                </c:pt>
                <c:pt idx="3">
                  <c:v>Automation Engineer</c:v>
                </c:pt>
                <c:pt idx="4">
                  <c:v>Business Partner</c:v>
                </c:pt>
                <c:pt idx="5">
                  <c:v>Cloud Infrastructure Architect</c:v>
                </c:pt>
                <c:pt idx="6">
                  <c:v>Computer Systems Manager</c:v>
                </c:pt>
                <c:pt idx="7">
                  <c:v>Controls Engineer</c:v>
                </c:pt>
                <c:pt idx="8">
                  <c:v>Development Engineer</c:v>
                </c:pt>
                <c:pt idx="9">
                  <c:v>Director</c:v>
                </c:pt>
                <c:pt idx="10">
                  <c:v>Engineering Manager</c:v>
                </c:pt>
                <c:pt idx="11">
                  <c:v>Enterprise Architect</c:v>
                </c:pt>
                <c:pt idx="12">
                  <c:v>Field Engineer</c:v>
                </c:pt>
                <c:pt idx="13">
                  <c:v>HRIS Analyst</c:v>
                </c:pt>
                <c:pt idx="14">
                  <c:v>IT Coordinator</c:v>
                </c:pt>
                <c:pt idx="15">
                  <c:v>IT Systems Architect</c:v>
                </c:pt>
                <c:pt idx="16">
                  <c:v>Manager</c:v>
                </c:pt>
                <c:pt idx="17">
                  <c:v>Manager  </c:v>
                </c:pt>
                <c:pt idx="18">
                  <c:v>Network Administrator</c:v>
                </c:pt>
                <c:pt idx="19">
                  <c:v>Network Architect</c:v>
                </c:pt>
                <c:pt idx="20">
                  <c:v>Network Engineer</c:v>
                </c:pt>
                <c:pt idx="21">
                  <c:v>Operations Engineer</c:v>
                </c:pt>
                <c:pt idx="22">
                  <c:v>Quality Engineer</c:v>
                </c:pt>
                <c:pt idx="23">
                  <c:v>Service Desk Analyst</c:v>
                </c:pt>
                <c:pt idx="24">
                  <c:v>Solutions Architect</c:v>
                </c:pt>
                <c:pt idx="25">
                  <c:v>Sr. Account Representative</c:v>
                </c:pt>
                <c:pt idx="26">
                  <c:v>Sr. Analyst</c:v>
                </c:pt>
                <c:pt idx="27">
                  <c:v>Sr. Business Partner</c:v>
                </c:pt>
                <c:pt idx="28">
                  <c:v>Sr. Manger</c:v>
                </c:pt>
                <c:pt idx="29">
                  <c:v>System Administrator </c:v>
                </c:pt>
                <c:pt idx="30">
                  <c:v>Systems Analyst</c:v>
                </c:pt>
                <c:pt idx="31">
                  <c:v>Technical Architect</c:v>
                </c:pt>
                <c:pt idx="32">
                  <c:v>Test Engineer</c:v>
                </c:pt>
                <c:pt idx="33">
                  <c:v>Vice President</c:v>
                </c:pt>
              </c:strCache>
            </c:strRef>
          </c:cat>
          <c:val>
            <c:numRef>
              <c:f>Pivot_table!$H$120:$H$154</c:f>
              <c:numCache>
                <c:formatCode>"$"#,##0_);\("$"#,##0\);"$"0_)</c:formatCode>
                <c:ptCount val="34"/>
                <c:pt idx="0">
                  <c:v>1307914</c:v>
                </c:pt>
                <c:pt idx="1">
                  <c:v>496965</c:v>
                </c:pt>
                <c:pt idx="2">
                  <c:v>867109</c:v>
                </c:pt>
                <c:pt idx="9">
                  <c:v>3048242</c:v>
                </c:pt>
                <c:pt idx="16">
                  <c:v>1714491</c:v>
                </c:pt>
                <c:pt idx="25">
                  <c:v>763274</c:v>
                </c:pt>
                <c:pt idx="26">
                  <c:v>1795990</c:v>
                </c:pt>
                <c:pt idx="28">
                  <c:v>2732129</c:v>
                </c:pt>
                <c:pt idx="33">
                  <c:v>2682018</c:v>
                </c:pt>
              </c:numCache>
            </c:numRef>
          </c:val>
          <c:extLst>
            <c:ext xmlns:c16="http://schemas.microsoft.com/office/drawing/2014/chart" uri="{C3380CC4-5D6E-409C-BE32-E72D297353CC}">
              <c16:uniqueId val="{0000001D-0533-4888-9213-3DF5F50B5EDE}"/>
            </c:ext>
          </c:extLst>
        </c:ser>
        <c:dLbls>
          <c:showLegendKey val="0"/>
          <c:showVal val="0"/>
          <c:showCatName val="0"/>
          <c:showSerName val="0"/>
          <c:showPercent val="0"/>
          <c:showBubbleSize val="0"/>
        </c:dLbls>
        <c:gapWidth val="150"/>
        <c:axId val="1522343920"/>
        <c:axId val="1522346800"/>
      </c:barChart>
      <c:catAx>
        <c:axId val="15223439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2346800"/>
        <c:crosses val="autoZero"/>
        <c:auto val="1"/>
        <c:lblAlgn val="ctr"/>
        <c:lblOffset val="100"/>
        <c:noMultiLvlLbl val="0"/>
      </c:catAx>
      <c:valAx>
        <c:axId val="1522346800"/>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_);\(&quot;$&quot;#,##0\);&quot;$&quot;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234392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C00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[HR_Dashboard.xlsx]Pivot_table!PivotTable9</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Dept_wise</a:t>
            </a:r>
            <a:r>
              <a:rPr lang="en-IN" baseline="0"/>
              <a:t> Emp_count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Pivot_table!$B$158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A64-4568-8C33-E37BDD44908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A64-4568-8C33-E37BDD44908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A64-4568-8C33-E37BDD44908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A64-4568-8C33-E37BDD44908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A64-4568-8C33-E37BDD44908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A64-4568-8C33-E37BDD449082}"/>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5A64-4568-8C33-E37BDD4490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Pivot_table!$A$159:$A$166</c:f>
              <c:strCache>
                <c:ptCount val="7"/>
                <c:pt idx="0">
                  <c:v>Accounting</c:v>
                </c:pt>
                <c:pt idx="1">
                  <c:v>Engineering</c:v>
                </c:pt>
                <c:pt idx="2">
                  <c:v>Finance</c:v>
                </c:pt>
                <c:pt idx="3">
                  <c:v>Human Resources</c:v>
                </c:pt>
                <c:pt idx="4">
                  <c:v>IT</c:v>
                </c:pt>
                <c:pt idx="5">
                  <c:v>Marketing</c:v>
                </c:pt>
                <c:pt idx="6">
                  <c:v>Sales</c:v>
                </c:pt>
              </c:strCache>
            </c:strRef>
          </c:cat>
          <c:val>
            <c:numRef>
              <c:f>Pivot_table!$B$159:$B$166</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E-5A64-4568-8C33-E37BDD449082}"/>
            </c:ext>
          </c:extLst>
        </c:ser>
        <c:dLbls>
          <c:showLegendKey val="0"/>
          <c:showVal val="1"/>
          <c:showCatName val="1"/>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C00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[HR_Dashboard.xlsx]Pivot_table!PivotTable10</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Avg Bonus % by Department</a:t>
            </a:r>
            <a:r>
              <a:rPr lang="en-IN" baseline="0"/>
              <a:t>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Pivot_table!$B$181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Pivot_table!$A$182:$A$189</c:f>
              <c:strCache>
                <c:ptCount val="7"/>
                <c:pt idx="0">
                  <c:v>Accounting</c:v>
                </c:pt>
                <c:pt idx="1">
                  <c:v>Engineering</c:v>
                </c:pt>
                <c:pt idx="2">
                  <c:v>Finance</c:v>
                </c:pt>
                <c:pt idx="3">
                  <c:v>Human Resources</c:v>
                </c:pt>
                <c:pt idx="4">
                  <c:v>IT</c:v>
                </c:pt>
                <c:pt idx="5">
                  <c:v>Marketing</c:v>
                </c:pt>
                <c:pt idx="6">
                  <c:v>Sales</c:v>
                </c:pt>
              </c:strCache>
            </c:strRef>
          </c:cat>
          <c:val>
            <c:numRef>
              <c:f>Pivot_table!$B$182:$B$189</c:f>
              <c:numCache>
                <c:formatCode>#,##0%_);\(#,##0%\);0%_)</c:formatCode>
                <c:ptCount val="7"/>
                <c:pt idx="0">
                  <c:v>0.10802083333333334</c:v>
                </c:pt>
                <c:pt idx="1">
                  <c:v>0.10727848101265829</c:v>
                </c:pt>
                <c:pt idx="2">
                  <c:v>0.10491666666666671</c:v>
                </c:pt>
                <c:pt idx="3">
                  <c:v>0.10400000000000001</c:v>
                </c:pt>
                <c:pt idx="4">
                  <c:v>0.10908713692946066</c:v>
                </c:pt>
                <c:pt idx="5">
                  <c:v>0.11250000000000006</c:v>
                </c:pt>
                <c:pt idx="6">
                  <c:v>0.11164285714285721</c:v>
                </c:pt>
              </c:numCache>
            </c:numRef>
          </c:val>
          <c:extLst>
            <c:ext xmlns:c16="http://schemas.microsoft.com/office/drawing/2014/chart" uri="{C3380CC4-5D6E-409C-BE32-E72D297353CC}">
              <c16:uniqueId val="{00000000-8AB6-4C24-9FEF-88AD3076F8ED}"/>
            </c:ext>
          </c:extLst>
        </c:ser>
        <c:dLbls>
          <c:dLblPos val="outEnd"/>
          <c:showLegendKey val="0"/>
          <c:showVal val="1"/>
          <c:showCatName val="0"/>
          <c:showSerName val="0"/>
          <c:showPercent val="0"/>
          <c:showBubbleSize val="0"/>
        </c:dLbls>
        <c:gapWidth val="150"/>
        <c:axId val="1642014192"/>
        <c:axId val="1642006032"/>
      </c:barChart>
      <c:catAx>
        <c:axId val="16420141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2006032"/>
        <c:crosses val="autoZero"/>
        <c:auto val="1"/>
        <c:lblAlgn val="ctr"/>
        <c:lblOffset val="100"/>
        <c:noMultiLvlLbl val="0"/>
      </c:catAx>
      <c:valAx>
        <c:axId val="1642006032"/>
        <c:scaling>
          <c:orientation val="minMax"/>
        </c:scaling>
        <c:delete val="0"/>
        <c:axPos val="b"/>
        <c:majorGridlines>
          <c:spPr>
            <a:ln w="9525" cap="flat" cmpd="sng" algn="ctr">
              <a:solidFill>
                <a:schemeClr val="lt1">
                  <a:lumMod val="95000"/>
                  <a:alpha val="10000"/>
                </a:schemeClr>
              </a:solidFill>
              <a:round/>
            </a:ln>
            <a:effectLst/>
          </c:spPr>
        </c:majorGridlines>
        <c:numFmt formatCode="#,##0%_);\(#,##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201419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C00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[HR_Dashboard.xlsx]Pivot_table!PivotTable11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a:t>
            </a:r>
            <a:r>
              <a:rPr lang="en-US" baseline="0"/>
              <a:t> Bonus % by Business unit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Pivot_table!$B$193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Pivot_table!$A$194:$A$198</c:f>
              <c:strCache>
                <c:ptCount val="4"/>
                <c:pt idx="0">
                  <c:v>Corporate</c:v>
                </c:pt>
                <c:pt idx="1">
                  <c:v>Manufacturing</c:v>
                </c:pt>
                <c:pt idx="2">
                  <c:v>Research &amp; Development</c:v>
                </c:pt>
                <c:pt idx="3">
                  <c:v>Speciality Products</c:v>
                </c:pt>
              </c:strCache>
            </c:strRef>
          </c:cat>
          <c:val>
            <c:numRef>
              <c:f>Pivot_table!$B$194:$B$198</c:f>
              <c:numCache>
                <c:formatCode>#,##0%_);\(#,##0%\);0%_)</c:formatCode>
                <c:ptCount val="4"/>
                <c:pt idx="0">
                  <c:v>0.11000000000000014</c:v>
                </c:pt>
                <c:pt idx="1">
                  <c:v>0.11007434944237923</c:v>
                </c:pt>
                <c:pt idx="2">
                  <c:v>0.10606986899563323</c:v>
                </c:pt>
                <c:pt idx="3">
                  <c:v>0.10701886792452839</c:v>
                </c:pt>
              </c:numCache>
            </c:numRef>
          </c:val>
          <c:extLst>
            <c:ext xmlns:c16="http://schemas.microsoft.com/office/drawing/2014/chart" uri="{C3380CC4-5D6E-409C-BE32-E72D297353CC}">
              <c16:uniqueId val="{00000000-C64F-45DA-A16B-2A4936495F37}"/>
            </c:ext>
          </c:extLst>
        </c:ser>
        <c:dLbls>
          <c:dLblPos val="outEnd"/>
          <c:showLegendKey val="0"/>
          <c:showVal val="1"/>
          <c:showCatName val="0"/>
          <c:showSerName val="0"/>
          <c:showPercent val="0"/>
          <c:showBubbleSize val="0"/>
        </c:dLbls>
        <c:gapWidth val="150"/>
        <c:axId val="1642060752"/>
        <c:axId val="1642058352"/>
      </c:barChart>
      <c:catAx>
        <c:axId val="16420607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2058352"/>
        <c:crosses val="autoZero"/>
        <c:auto val="1"/>
        <c:lblAlgn val="ctr"/>
        <c:lblOffset val="100"/>
        <c:noMultiLvlLbl val="0"/>
      </c:catAx>
      <c:valAx>
        <c:axId val="1642058352"/>
        <c:scaling>
          <c:orientation val="minMax"/>
        </c:scaling>
        <c:delete val="0"/>
        <c:axPos val="b"/>
        <c:majorGridlines>
          <c:spPr>
            <a:ln w="9525" cap="flat" cmpd="sng" algn="ctr">
              <a:solidFill>
                <a:schemeClr val="lt1">
                  <a:lumMod val="95000"/>
                  <a:alpha val="10000"/>
                </a:schemeClr>
              </a:solidFill>
              <a:round/>
            </a:ln>
            <a:effectLst/>
          </c:spPr>
        </c:majorGridlines>
        <c:numFmt formatCode="#,##0%_);\(#,##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206075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C00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10" Type="http://schemas.openxmlformats.org/officeDocument/2006/relationships/chart" Target="../charts/chart15.xml"/><Relationship Id="rId4" Type="http://schemas.openxmlformats.org/officeDocument/2006/relationships/chart" Target="../charts/chart9.xml"/><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422882</xdr:colOff>
      <xdr:row>78</xdr:row>
      <xdr:rowOff>87549</xdr:rowOff>
    </xdr:from>
    <xdr:to>
      <xdr:col>18</xdr:col>
      <xdr:colOff>40530</xdr:colOff>
      <xdr:row>99</xdr:row>
      <xdr:rowOff>67553</xdr:rowOff>
    </xdr:to>
    <xdr:graphicFrame macro="">
      <xdr:nvGraphicFramePr>
        <xdr:cNvPr id="7" name="Chart 6">
          <a:extLst>
            <a:ext uri="{FF2B5EF4-FFF2-40B4-BE49-F238E27FC236}">
              <a16:creationId xmlns:a16="http://schemas.microsoft.com/office/drawing/2014/main" id="{CF55F181-3435-7041-204C-0B169F21D7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762000</xdr:colOff>
      <xdr:row>158</xdr:row>
      <xdr:rowOff>116114</xdr:rowOff>
    </xdr:from>
    <xdr:to>
      <xdr:col>9</xdr:col>
      <xdr:colOff>1233713</xdr:colOff>
      <xdr:row>180</xdr:row>
      <xdr:rowOff>108857</xdr:rowOff>
    </xdr:to>
    <xdr:graphicFrame macro="">
      <xdr:nvGraphicFramePr>
        <xdr:cNvPr id="10" name="Chart 9">
          <a:extLst>
            <a:ext uri="{FF2B5EF4-FFF2-40B4-BE49-F238E27FC236}">
              <a16:creationId xmlns:a16="http://schemas.microsoft.com/office/drawing/2014/main" id="{CDF896FB-819A-FE7F-F112-683E652E22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169036</xdr:colOff>
      <xdr:row>181</xdr:row>
      <xdr:rowOff>86218</xdr:rowOff>
    </xdr:from>
    <xdr:to>
      <xdr:col>11</xdr:col>
      <xdr:colOff>465965</xdr:colOff>
      <xdr:row>196</xdr:row>
      <xdr:rowOff>12164</xdr:rowOff>
    </xdr:to>
    <xdr:graphicFrame macro="">
      <xdr:nvGraphicFramePr>
        <xdr:cNvPr id="11" name="Chart 10">
          <a:extLst>
            <a:ext uri="{FF2B5EF4-FFF2-40B4-BE49-F238E27FC236}">
              <a16:creationId xmlns:a16="http://schemas.microsoft.com/office/drawing/2014/main" id="{D515B9A3-0102-ED89-6F99-D164E01FA8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580443</xdr:colOff>
      <xdr:row>197</xdr:row>
      <xdr:rowOff>5724</xdr:rowOff>
    </xdr:from>
    <xdr:to>
      <xdr:col>10</xdr:col>
      <xdr:colOff>126105</xdr:colOff>
      <xdr:row>211</xdr:row>
      <xdr:rowOff>119488</xdr:rowOff>
    </xdr:to>
    <xdr:graphicFrame macro="">
      <xdr:nvGraphicFramePr>
        <xdr:cNvPr id="12" name="Chart 11">
          <a:extLst>
            <a:ext uri="{FF2B5EF4-FFF2-40B4-BE49-F238E27FC236}">
              <a16:creationId xmlns:a16="http://schemas.microsoft.com/office/drawing/2014/main" id="{6982397A-FEA5-7DE3-48C9-133422E733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164563</xdr:colOff>
      <xdr:row>183</xdr:row>
      <xdr:rowOff>23611</xdr:rowOff>
    </xdr:from>
    <xdr:to>
      <xdr:col>16</xdr:col>
      <xdr:colOff>1311141</xdr:colOff>
      <xdr:row>197</xdr:row>
      <xdr:rowOff>137374</xdr:rowOff>
    </xdr:to>
    <xdr:graphicFrame macro="">
      <xdr:nvGraphicFramePr>
        <xdr:cNvPr id="13" name="Chart 12">
          <a:extLst>
            <a:ext uri="{FF2B5EF4-FFF2-40B4-BE49-F238E27FC236}">
              <a16:creationId xmlns:a16="http://schemas.microsoft.com/office/drawing/2014/main" id="{3EA7F30A-5D97-AA4E-5DE7-CF01879C15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740610</xdr:colOff>
      <xdr:row>7</xdr:row>
      <xdr:rowOff>110290</xdr:rowOff>
    </xdr:from>
    <xdr:to>
      <xdr:col>6</xdr:col>
      <xdr:colOff>137360</xdr:colOff>
      <xdr:row>11</xdr:row>
      <xdr:rowOff>2340</xdr:rowOff>
    </xdr:to>
    <xdr:sp macro="" textlink="Emp_Data!K1002">
      <xdr:nvSpPr>
        <xdr:cNvPr id="2" name="Rectangle: Rounded Corners 1">
          <a:extLst>
            <a:ext uri="{FF2B5EF4-FFF2-40B4-BE49-F238E27FC236}">
              <a16:creationId xmlns:a16="http://schemas.microsoft.com/office/drawing/2014/main" id="{A9254DBA-4FF7-A2A2-4A30-3C3113DF9A17}"/>
            </a:ext>
          </a:extLst>
        </xdr:cNvPr>
        <xdr:cNvSpPr/>
      </xdr:nvSpPr>
      <xdr:spPr>
        <a:xfrm>
          <a:off x="3347452" y="1397001"/>
          <a:ext cx="2872540" cy="627313"/>
        </a:xfrm>
        <a:prstGeom prst="roundRect">
          <a:avLst/>
        </a:prstGeom>
        <a:solidFill>
          <a:schemeClr val="accent2">
            <a:lumMod val="60000"/>
            <a:lumOff val="40000"/>
          </a:schemeClr>
        </a:solidFill>
        <a:ln>
          <a:solidFill>
            <a:schemeClr val="accent3">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BF6EB6E7-53D5-48E0-BBED-4DC9A7A92C35}" type="TxLink">
            <a:rPr lang="en-US" sz="2800" b="1" i="0" u="none" strike="noStrike">
              <a:solidFill>
                <a:srgbClr val="000000"/>
              </a:solidFill>
              <a:effectLst/>
              <a:latin typeface="Aptos Narrow"/>
            </a:rPr>
            <a:pPr algn="ctr"/>
            <a:t>41.01M</a:t>
          </a:fld>
          <a:endParaRPr lang="en-IN" sz="2800" b="1"/>
        </a:p>
      </xdr:txBody>
    </xdr:sp>
    <xdr:clientData/>
  </xdr:twoCellAnchor>
  <xdr:twoCellAnchor>
    <xdr:from>
      <xdr:col>0</xdr:col>
      <xdr:colOff>441906</xdr:colOff>
      <xdr:row>7</xdr:row>
      <xdr:rowOff>151506</xdr:rowOff>
    </xdr:from>
    <xdr:to>
      <xdr:col>2</xdr:col>
      <xdr:colOff>482600</xdr:colOff>
      <xdr:row>11</xdr:row>
      <xdr:rowOff>24506</xdr:rowOff>
    </xdr:to>
    <xdr:sp macro="" textlink="Emp_Data!A1002">
      <xdr:nvSpPr>
        <xdr:cNvPr id="4" name="Rectangle: Rounded Corners 3">
          <a:extLst>
            <a:ext uri="{FF2B5EF4-FFF2-40B4-BE49-F238E27FC236}">
              <a16:creationId xmlns:a16="http://schemas.microsoft.com/office/drawing/2014/main" id="{CCD56E9F-BA6A-87F0-4F1C-1E04734C2F1B}"/>
            </a:ext>
          </a:extLst>
        </xdr:cNvPr>
        <xdr:cNvSpPr/>
      </xdr:nvSpPr>
      <xdr:spPr>
        <a:xfrm>
          <a:off x="441906" y="1485006"/>
          <a:ext cx="2656894" cy="635000"/>
        </a:xfrm>
        <a:prstGeom prst="roundRect">
          <a:avLst/>
        </a:prstGeom>
        <a:solidFill>
          <a:schemeClr val="accent2">
            <a:lumMod val="60000"/>
            <a:lumOff val="40000"/>
          </a:schemeClr>
        </a:solidFill>
        <a:ln>
          <a:solidFill>
            <a:schemeClr val="accent3">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4B3975D2-9C0D-4719-8AD0-A2F6A26DB769}" type="TxLink">
            <a:rPr lang="en-US" sz="2800" b="1" i="0" u="none" strike="noStrike">
              <a:solidFill>
                <a:srgbClr val="000000"/>
              </a:solidFill>
              <a:effectLst/>
              <a:latin typeface="Aptos Narrow"/>
            </a:rPr>
            <a:pPr algn="ctr"/>
            <a:t>1000</a:t>
          </a:fld>
          <a:endParaRPr lang="en-IN" sz="2800" b="1"/>
        </a:p>
      </xdr:txBody>
    </xdr:sp>
    <xdr:clientData/>
  </xdr:twoCellAnchor>
  <xdr:twoCellAnchor>
    <xdr:from>
      <xdr:col>0</xdr:col>
      <xdr:colOff>748908</xdr:colOff>
      <xdr:row>4</xdr:row>
      <xdr:rowOff>103874</xdr:rowOff>
    </xdr:from>
    <xdr:to>
      <xdr:col>2</xdr:col>
      <xdr:colOff>253608</xdr:colOff>
      <xdr:row>7</xdr:row>
      <xdr:rowOff>161024</xdr:rowOff>
    </xdr:to>
    <xdr:sp macro="" textlink="">
      <xdr:nvSpPr>
        <xdr:cNvPr id="5" name="Rectangle 4">
          <a:extLst>
            <a:ext uri="{FF2B5EF4-FFF2-40B4-BE49-F238E27FC236}">
              <a16:creationId xmlns:a16="http://schemas.microsoft.com/office/drawing/2014/main" id="{0917E46A-FF5B-052E-1F43-5DE973501766}"/>
            </a:ext>
          </a:extLst>
        </xdr:cNvPr>
        <xdr:cNvSpPr/>
      </xdr:nvSpPr>
      <xdr:spPr>
        <a:xfrm>
          <a:off x="748908" y="865874"/>
          <a:ext cx="2120900" cy="6286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a:t>
          </a:r>
          <a:r>
            <a:rPr lang="en-IN" sz="1800" baseline="0"/>
            <a:t> </a:t>
          </a:r>
          <a:r>
            <a:rPr lang="en-IN" sz="1800" b="1" baseline="0"/>
            <a:t>Employees</a:t>
          </a:r>
          <a:r>
            <a:rPr lang="en-IN" sz="1800" baseline="0"/>
            <a:t> </a:t>
          </a:r>
          <a:r>
            <a:rPr lang="en-IN" sz="1800" b="1" baseline="0"/>
            <a:t>count</a:t>
          </a:r>
          <a:endParaRPr lang="en-IN" sz="1800" b="1"/>
        </a:p>
      </xdr:txBody>
    </xdr:sp>
    <xdr:clientData/>
  </xdr:twoCellAnchor>
  <xdr:twoCellAnchor>
    <xdr:from>
      <xdr:col>2</xdr:col>
      <xdr:colOff>938129</xdr:colOff>
      <xdr:row>4</xdr:row>
      <xdr:rowOff>100263</xdr:rowOff>
    </xdr:from>
    <xdr:to>
      <xdr:col>5</xdr:col>
      <xdr:colOff>885657</xdr:colOff>
      <xdr:row>7</xdr:row>
      <xdr:rowOff>180320</xdr:rowOff>
    </xdr:to>
    <xdr:sp macro="" textlink="">
      <xdr:nvSpPr>
        <xdr:cNvPr id="8" name="Rectangle 7">
          <a:extLst>
            <a:ext uri="{FF2B5EF4-FFF2-40B4-BE49-F238E27FC236}">
              <a16:creationId xmlns:a16="http://schemas.microsoft.com/office/drawing/2014/main" id="{9EE9237B-876F-42C8-92B6-9591FE0051F8}"/>
            </a:ext>
          </a:extLst>
        </xdr:cNvPr>
        <xdr:cNvSpPr/>
      </xdr:nvSpPr>
      <xdr:spPr>
        <a:xfrm>
          <a:off x="3544971" y="835526"/>
          <a:ext cx="2470818" cy="63150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lt1"/>
              </a:solidFill>
              <a:latin typeface="+mn-lt"/>
              <a:ea typeface="+mn-ea"/>
              <a:cs typeface="+mn-cs"/>
            </a:rPr>
            <a:t># Total salaries paid</a:t>
          </a:r>
        </a:p>
      </xdr:txBody>
    </xdr:sp>
    <xdr:clientData/>
  </xdr:twoCellAnchor>
  <xdr:twoCellAnchor>
    <xdr:from>
      <xdr:col>0</xdr:col>
      <xdr:colOff>57150</xdr:colOff>
      <xdr:row>12</xdr:row>
      <xdr:rowOff>3665</xdr:rowOff>
    </xdr:from>
    <xdr:to>
      <xdr:col>7</xdr:col>
      <xdr:colOff>254000</xdr:colOff>
      <xdr:row>29</xdr:row>
      <xdr:rowOff>39686</xdr:rowOff>
    </xdr:to>
    <xdr:graphicFrame macro="">
      <xdr:nvGraphicFramePr>
        <xdr:cNvPr id="3" name="Chart 2">
          <a:extLst>
            <a:ext uri="{FF2B5EF4-FFF2-40B4-BE49-F238E27FC236}">
              <a16:creationId xmlns:a16="http://schemas.microsoft.com/office/drawing/2014/main" id="{DF4E2D04-F119-415F-9AB3-D2E1FEB893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431800</xdr:colOff>
      <xdr:row>11</xdr:row>
      <xdr:rowOff>177800</xdr:rowOff>
    </xdr:from>
    <xdr:to>
      <xdr:col>14</xdr:col>
      <xdr:colOff>939800</xdr:colOff>
      <xdr:row>29</xdr:row>
      <xdr:rowOff>44450</xdr:rowOff>
    </xdr:to>
    <xdr:graphicFrame macro="">
      <xdr:nvGraphicFramePr>
        <xdr:cNvPr id="6" name="Chart 5">
          <a:extLst>
            <a:ext uri="{FF2B5EF4-FFF2-40B4-BE49-F238E27FC236}">
              <a16:creationId xmlns:a16="http://schemas.microsoft.com/office/drawing/2014/main" id="{65431E32-D14C-44AE-93AD-492025D62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444500</xdr:colOff>
      <xdr:row>30</xdr:row>
      <xdr:rowOff>0</xdr:rowOff>
    </xdr:from>
    <xdr:to>
      <xdr:col>14</xdr:col>
      <xdr:colOff>946149</xdr:colOff>
      <xdr:row>51</xdr:row>
      <xdr:rowOff>114300</xdr:rowOff>
    </xdr:to>
    <xdr:graphicFrame macro="">
      <xdr:nvGraphicFramePr>
        <xdr:cNvPr id="7" name="Chart 6">
          <a:extLst>
            <a:ext uri="{FF2B5EF4-FFF2-40B4-BE49-F238E27FC236}">
              <a16:creationId xmlns:a16="http://schemas.microsoft.com/office/drawing/2014/main" id="{B6FD3ADC-8B0C-47F0-B3CC-D1A50796E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1318846</xdr:colOff>
      <xdr:row>6</xdr:row>
      <xdr:rowOff>48419</xdr:rowOff>
    </xdr:from>
    <xdr:to>
      <xdr:col>20</xdr:col>
      <xdr:colOff>583779</xdr:colOff>
      <xdr:row>27</xdr:row>
      <xdr:rowOff>72190</xdr:rowOff>
    </xdr:to>
    <mc:AlternateContent xmlns:mc="http://schemas.openxmlformats.org/markup-compatibility/2006" xmlns:a14="http://schemas.microsoft.com/office/drawing/2010/main">
      <mc:Choice Requires="a14">
        <xdr:graphicFrame macro="">
          <xdr:nvGraphicFramePr>
            <xdr:cNvPr id="14" name="Country">
              <a:extLst>
                <a:ext uri="{FF2B5EF4-FFF2-40B4-BE49-F238E27FC236}">
                  <a16:creationId xmlns:a16="http://schemas.microsoft.com/office/drawing/2014/main" id="{19069E37-0A67-3350-50A6-FF74E4F7AD7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6492004" y="1151314"/>
              <a:ext cx="3910459" cy="38839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101600</xdr:colOff>
      <xdr:row>53</xdr:row>
      <xdr:rowOff>50800</xdr:rowOff>
    </xdr:from>
    <xdr:to>
      <xdr:col>7</xdr:col>
      <xdr:colOff>152400</xdr:colOff>
      <xdr:row>75</xdr:row>
      <xdr:rowOff>12699</xdr:rowOff>
    </xdr:to>
    <xdr:graphicFrame macro="">
      <xdr:nvGraphicFramePr>
        <xdr:cNvPr id="17" name="Chart 16">
          <a:extLst>
            <a:ext uri="{FF2B5EF4-FFF2-40B4-BE49-F238E27FC236}">
              <a16:creationId xmlns:a16="http://schemas.microsoft.com/office/drawing/2014/main" id="{CC4DCF07-F424-42CB-BB9C-72CBFF86EC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76200</xdr:colOff>
      <xdr:row>30</xdr:row>
      <xdr:rowOff>4762</xdr:rowOff>
    </xdr:from>
    <xdr:to>
      <xdr:col>7</xdr:col>
      <xdr:colOff>241300</xdr:colOff>
      <xdr:row>51</xdr:row>
      <xdr:rowOff>96043</xdr:rowOff>
    </xdr:to>
    <xdr:graphicFrame macro="">
      <xdr:nvGraphicFramePr>
        <xdr:cNvPr id="9" name="Chart 8">
          <a:extLst>
            <a:ext uri="{FF2B5EF4-FFF2-40B4-BE49-F238E27FC236}">
              <a16:creationId xmlns:a16="http://schemas.microsoft.com/office/drawing/2014/main" id="{FD708465-9F55-4DB3-A812-36C2062D1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469900</xdr:colOff>
      <xdr:row>53</xdr:row>
      <xdr:rowOff>35859</xdr:rowOff>
    </xdr:from>
    <xdr:to>
      <xdr:col>14</xdr:col>
      <xdr:colOff>927100</xdr:colOff>
      <xdr:row>74</xdr:row>
      <xdr:rowOff>189006</xdr:rowOff>
    </xdr:to>
    <xdr:graphicFrame macro="">
      <xdr:nvGraphicFramePr>
        <xdr:cNvPr id="10" name="Chart 9">
          <a:extLst>
            <a:ext uri="{FF2B5EF4-FFF2-40B4-BE49-F238E27FC236}">
              <a16:creationId xmlns:a16="http://schemas.microsoft.com/office/drawing/2014/main" id="{701683F0-977D-445F-AB01-5BFE53CF46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127000</xdr:colOff>
      <xdr:row>97</xdr:row>
      <xdr:rowOff>165100</xdr:rowOff>
    </xdr:from>
    <xdr:to>
      <xdr:col>15</xdr:col>
      <xdr:colOff>614548</xdr:colOff>
      <xdr:row>136</xdr:row>
      <xdr:rowOff>14143</xdr:rowOff>
    </xdr:to>
    <xdr:graphicFrame macro="">
      <xdr:nvGraphicFramePr>
        <xdr:cNvPr id="12" name="Chart 11">
          <a:extLst>
            <a:ext uri="{FF2B5EF4-FFF2-40B4-BE49-F238E27FC236}">
              <a16:creationId xmlns:a16="http://schemas.microsoft.com/office/drawing/2014/main" id="{1F545206-A8C0-4D22-B294-DCA8421AC2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116974</xdr:colOff>
      <xdr:row>6</xdr:row>
      <xdr:rowOff>51073</xdr:rowOff>
    </xdr:from>
    <xdr:to>
      <xdr:col>27</xdr:col>
      <xdr:colOff>192813</xdr:colOff>
      <xdr:row>27</xdr:row>
      <xdr:rowOff>59491</xdr:rowOff>
    </xdr:to>
    <mc:AlternateContent xmlns:mc="http://schemas.openxmlformats.org/markup-compatibility/2006" xmlns:a14="http://schemas.microsoft.com/office/drawing/2010/main">
      <mc:Choice Requires="a14">
        <xdr:graphicFrame macro="">
          <xdr:nvGraphicFramePr>
            <xdr:cNvPr id="13" name="City">
              <a:extLst>
                <a:ext uri="{FF2B5EF4-FFF2-40B4-BE49-F238E27FC236}">
                  <a16:creationId xmlns:a16="http://schemas.microsoft.com/office/drawing/2014/main" id="{8160CFFE-7C34-FC04-3668-0C9AC273314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0537237" y="1153968"/>
              <a:ext cx="3685313" cy="3868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139700</xdr:colOff>
      <xdr:row>75</xdr:row>
      <xdr:rowOff>114300</xdr:rowOff>
    </xdr:from>
    <xdr:to>
      <xdr:col>7</xdr:col>
      <xdr:colOff>190500</xdr:colOff>
      <xdr:row>97</xdr:row>
      <xdr:rowOff>59872</xdr:rowOff>
    </xdr:to>
    <xdr:graphicFrame macro="">
      <xdr:nvGraphicFramePr>
        <xdr:cNvPr id="15" name="Chart 14">
          <a:extLst>
            <a:ext uri="{FF2B5EF4-FFF2-40B4-BE49-F238E27FC236}">
              <a16:creationId xmlns:a16="http://schemas.microsoft.com/office/drawing/2014/main" id="{2D2C0512-AE2E-483F-8F1B-9454AA6619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467894</xdr:colOff>
      <xdr:row>4</xdr:row>
      <xdr:rowOff>167105</xdr:rowOff>
    </xdr:from>
    <xdr:to>
      <xdr:col>7</xdr:col>
      <xdr:colOff>1671052</xdr:colOff>
      <xdr:row>8</xdr:row>
      <xdr:rowOff>83553</xdr:rowOff>
    </xdr:to>
    <xdr:sp macro="" textlink="">
      <xdr:nvSpPr>
        <xdr:cNvPr id="16" name="Rectangle 15">
          <a:extLst>
            <a:ext uri="{FF2B5EF4-FFF2-40B4-BE49-F238E27FC236}">
              <a16:creationId xmlns:a16="http://schemas.microsoft.com/office/drawing/2014/main" id="{66ADFB61-24E6-AC70-E216-BDF4DFFC398A}"/>
            </a:ext>
          </a:extLst>
        </xdr:cNvPr>
        <xdr:cNvSpPr/>
      </xdr:nvSpPr>
      <xdr:spPr>
        <a:xfrm>
          <a:off x="6550526" y="902368"/>
          <a:ext cx="2857500" cy="65171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 Average Salary</a:t>
          </a:r>
          <a:endParaRPr lang="en-IN" sz="1100"/>
        </a:p>
      </xdr:txBody>
    </xdr:sp>
    <xdr:clientData/>
  </xdr:twoCellAnchor>
  <xdr:twoCellAnchor>
    <xdr:from>
      <xdr:col>6</xdr:col>
      <xdr:colOff>685132</xdr:colOff>
      <xdr:row>7</xdr:row>
      <xdr:rowOff>100263</xdr:rowOff>
    </xdr:from>
    <xdr:to>
      <xdr:col>7</xdr:col>
      <xdr:colOff>1453815</xdr:colOff>
      <xdr:row>11</xdr:row>
      <xdr:rowOff>0</xdr:rowOff>
    </xdr:to>
    <xdr:sp macro="" textlink="">
      <xdr:nvSpPr>
        <xdr:cNvPr id="18" name="Rectangle: Rounded Corners 17">
          <a:extLst>
            <a:ext uri="{FF2B5EF4-FFF2-40B4-BE49-F238E27FC236}">
              <a16:creationId xmlns:a16="http://schemas.microsoft.com/office/drawing/2014/main" id="{CBA220DB-FD5F-83A1-8EBB-E83DF118E270}"/>
            </a:ext>
          </a:extLst>
        </xdr:cNvPr>
        <xdr:cNvSpPr/>
      </xdr:nvSpPr>
      <xdr:spPr>
        <a:xfrm>
          <a:off x="6767764" y="1386974"/>
          <a:ext cx="2423025" cy="635000"/>
        </a:xfrm>
        <a:prstGeom prst="roundRect">
          <a:avLst/>
        </a:prstGeom>
        <a:solidFill>
          <a:schemeClr val="accent2">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2800" b="1" i="0" u="none" strike="noStrike">
              <a:solidFill>
                <a:schemeClr val="tx1">
                  <a:lumMod val="95000"/>
                  <a:lumOff val="5000"/>
                </a:schemeClr>
              </a:solidFill>
              <a:effectLst/>
              <a:latin typeface="+mn-lt"/>
              <a:ea typeface="+mn-ea"/>
              <a:cs typeface="+mn-cs"/>
            </a:rPr>
            <a:t>₹ 41,006.12</a:t>
          </a:r>
          <a:r>
            <a:rPr lang="en-IN" sz="5400" b="1">
              <a:solidFill>
                <a:schemeClr val="tx1">
                  <a:lumMod val="95000"/>
                  <a:lumOff val="5000"/>
                </a:schemeClr>
              </a:solidFill>
              <a:effectLst/>
            </a:rPr>
            <a:t> </a:t>
          </a:r>
          <a:r>
            <a:rPr lang="en-IN" sz="2800" b="1">
              <a:effectLst/>
            </a:rPr>
            <a:t> </a:t>
          </a:r>
          <a:endParaRPr lang="en-IN" sz="1100" b="1"/>
        </a:p>
      </xdr:txBody>
    </xdr:sp>
    <xdr:clientData/>
  </xdr:twoCellAnchor>
  <xdr:twoCellAnchor>
    <xdr:from>
      <xdr:col>14</xdr:col>
      <xdr:colOff>1253289</xdr:colOff>
      <xdr:row>29</xdr:row>
      <xdr:rowOff>116973</xdr:rowOff>
    </xdr:from>
    <xdr:to>
      <xdr:col>27</xdr:col>
      <xdr:colOff>434473</xdr:colOff>
      <xdr:row>52</xdr:row>
      <xdr:rowOff>-1</xdr:rowOff>
    </xdr:to>
    <xdr:graphicFrame macro="">
      <xdr:nvGraphicFramePr>
        <xdr:cNvPr id="19" name="Chart 18">
          <a:extLst>
            <a:ext uri="{FF2B5EF4-FFF2-40B4-BE49-F238E27FC236}">
              <a16:creationId xmlns:a16="http://schemas.microsoft.com/office/drawing/2014/main" id="{46EFBED8-FC87-435E-A9AB-4CF9678421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1253289</xdr:colOff>
      <xdr:row>53</xdr:row>
      <xdr:rowOff>100262</xdr:rowOff>
    </xdr:from>
    <xdr:to>
      <xdr:col>27</xdr:col>
      <xdr:colOff>451184</xdr:colOff>
      <xdr:row>75</xdr:row>
      <xdr:rowOff>83552</xdr:rowOff>
    </xdr:to>
    <xdr:graphicFrame macro="">
      <xdr:nvGraphicFramePr>
        <xdr:cNvPr id="21" name="Chart 20">
          <a:extLst>
            <a:ext uri="{FF2B5EF4-FFF2-40B4-BE49-F238E27FC236}">
              <a16:creationId xmlns:a16="http://schemas.microsoft.com/office/drawing/2014/main" id="{E54793C0-A2FB-49BD-A6AE-162CFD094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n" refreshedDate="46060.524404629628" createdVersion="8" refreshedVersion="8" minRefreshableVersion="3" recordCount="1000" xr:uid="{0FE70938-5C0B-4C4A-B735-7DF418A8DB8B}">
  <cacheSource type="worksheet">
    <worksheetSource ref="A1:O1001" sheet="Emp_Data"/>
  </cacheSource>
  <cacheFields count="18">
    <cacheField name="EEID" numFmtId="0">
      <sharedItems/>
    </cacheField>
    <cacheField name="Full Name" numFmtId="0">
      <sharedItems/>
    </cacheField>
    <cacheField name="Job Title" numFmtId="0">
      <sharedItems count="34">
        <s v="Engineering Manager"/>
        <s v="Director"/>
        <s v="Technical Architect"/>
        <s v="Field Engineer"/>
        <s v="Sr. Analyst"/>
        <s v="Manager  "/>
        <s v="Sr. Business Partner"/>
        <s v="Manager"/>
        <s v="Cloud Infrastructure Architect"/>
        <s v="Operations Engineer"/>
        <s v="Sr. Manger"/>
        <s v="Business Partner"/>
        <s v="Vice President"/>
        <s v="System Administrator "/>
        <s v="Controls Engineer"/>
        <s v="Systems Analyst"/>
        <s v="Analyst II"/>
        <s v="Account Representative"/>
        <s v="IT Coordinator"/>
        <s v="Network Engineer"/>
        <s v="Network Architect"/>
        <s v="Analyst"/>
        <s v="Quality Engineer"/>
        <s v="IT Systems Architect"/>
        <s v="Service Desk Analyst"/>
        <s v="Sr. Account Representative"/>
        <s v="Enterprise Architect"/>
        <s v="Computer Systems Manager"/>
        <s v="HRIS Analyst"/>
        <s v="Development Engineer"/>
        <s v="Network Administrator"/>
        <s v="Solutions Architect"/>
        <s v="Test Engineer"/>
        <s v="Automation Engineer"/>
      </sharedItems>
    </cacheField>
    <cacheField name="Department" numFmtId="0">
      <sharedItems count="7">
        <s v="Engineering"/>
        <s v="Sales"/>
        <s v="IT"/>
        <s v="Human Resources"/>
        <s v="Marketing"/>
        <s v="Finance"/>
        <s v="Accounting"/>
      </sharedItems>
    </cacheField>
    <cacheField name="Business Unit" numFmtId="0">
      <sharedItems count="4">
        <s v="Research &amp; Development"/>
        <s v="Corporate"/>
        <s v="Manufacturing"/>
        <s v="Speciality Products"/>
      </sharedItems>
    </cacheField>
    <cacheField name="Gender" numFmtId="0">
      <sharedItems count="2">
        <s v="Male"/>
        <s v="Female"/>
      </sharedItems>
    </cacheField>
    <cacheField name="Ethnicity" numFmtId="0">
      <sharedItems/>
    </cacheField>
    <cacheField name="Age" numFmtId="0">
      <sharedItems containsSemiMixedTypes="0" containsString="0" containsNumber="1" containsInteger="1" minValue="25" maxValue="65"/>
    </cacheField>
    <cacheField name="Age Group" numFmtId="0">
      <sharedItems count="4">
        <s v="46-60"/>
        <s v="&gt;60"/>
        <s v="31-45"/>
        <s v="18-30"/>
      </sharedItems>
    </cacheField>
    <cacheField name="Hire Date" numFmtId="14">
      <sharedItems containsSemiMixedTypes="0" containsNonDate="0" containsDate="1" containsString="0" minDate="1992-01-09T00:00:00" maxDate="2021-12-27T00:00:00" count="949">
        <d v="1992-01-09T00:00:00"/>
        <d v="1992-03-19T00:00:00"/>
        <d v="1992-05-04T00:00:00"/>
        <d v="1992-10-13T00:00:00"/>
        <d v="1994-02-18T00:00:00"/>
        <d v="1994-02-23T00:00:00"/>
        <d v="1994-08-21T00:00:00"/>
        <d v="1994-09-18T00:00:00"/>
        <d v="1994-12-24T00:00:00"/>
        <d v="1995-08-04T00:00:00"/>
        <d v="1995-08-29T00:00:00"/>
        <d v="1995-11-16T00:00:00"/>
        <d v="1995-11-20T00:00:00"/>
        <d v="1996-02-14T00:00:00"/>
        <d v="1996-05-02T00:00:00"/>
        <d v="1996-06-22T00:00:00"/>
        <d v="1996-12-04T00:00:00"/>
        <d v="1997-03-11T00:00:00"/>
        <d v="1997-03-13T00:00:00"/>
        <d v="1997-04-12T00:00:00"/>
        <d v="1997-04-28T00:00:00"/>
        <d v="1997-05-26T00:00:00"/>
        <d v="1997-06-20T00:00:00"/>
        <d v="1997-11-29T00:00:00"/>
        <d v="1998-04-01T00:00:00"/>
        <d v="1998-06-15T00:00:00"/>
        <d v="1998-07-20T00:00:00"/>
        <d v="1998-09-03T00:00:00"/>
        <d v="1999-02-19T00:00:00"/>
        <d v="1999-03-10T00:00:00"/>
        <d v="1999-04-25T00:00:00"/>
        <d v="1999-05-23T00:00:00"/>
        <d v="1999-12-29T00:00:00"/>
        <d v="1999-12-31T00:00:00"/>
        <d v="2000-01-29T00:00:00"/>
        <d v="2000-03-02T00:00:00"/>
        <d v="2000-05-07T00:00:00"/>
        <d v="2000-08-16T00:00:00"/>
        <d v="2000-08-17T00:00:00"/>
        <d v="2000-09-24T00:00:00"/>
        <d v="2000-10-24T00:00:00"/>
        <d v="2000-10-27T00:00:00"/>
        <d v="2001-01-23T00:00:00"/>
        <d v="2001-03-06T00:00:00"/>
        <d v="2001-04-02T00:00:00"/>
        <d v="2001-04-09T00:00:00"/>
        <d v="2001-04-12T00:00:00"/>
        <d v="2001-05-03T00:00:00"/>
        <d v="2001-05-30T00:00:00"/>
        <d v="2001-07-20T00:00:00"/>
        <d v="2001-09-10T00:00:00"/>
        <d v="2001-10-17T00:00:00"/>
        <d v="2002-01-15T00:00:00"/>
        <d v="2002-02-08T00:00:00"/>
        <d v="2002-02-17T00:00:00"/>
        <d v="2002-03-01T00:00:00"/>
        <d v="2002-03-28T00:00:00"/>
        <d v="2002-07-08T00:00:00"/>
        <d v="2002-07-09T00:00:00"/>
        <d v="2002-09-20T00:00:00"/>
        <d v="2002-11-16T00:00:00"/>
        <d v="2002-11-22T00:00:00"/>
        <d v="2003-01-15T00:00:00"/>
        <d v="2003-01-17T00:00:00"/>
        <d v="2003-02-28T00:00:00"/>
        <d v="2003-05-08T00:00:00"/>
        <d v="2003-05-14T00:00:00"/>
        <d v="2003-05-21T00:00:00"/>
        <d v="2003-06-24T00:00:00"/>
        <d v="2003-06-26T00:00:00"/>
        <d v="2003-08-22T00:00:00"/>
        <d v="2003-12-07T00:00:00"/>
        <d v="2003-12-17T00:00:00"/>
        <d v="2004-02-10T00:00:00"/>
        <d v="2004-02-25T00:00:00"/>
        <d v="2004-02-29T00:00:00"/>
        <d v="2004-03-11T00:00:00"/>
        <d v="2004-03-14T00:00:00"/>
        <d v="2004-03-20T00:00:00"/>
        <d v="2004-04-19T00:00:00"/>
        <d v="2004-05-14T00:00:00"/>
        <d v="2004-06-07T00:00:00"/>
        <d v="2004-06-30T00:00:00"/>
        <d v="2004-12-11T00:00:00"/>
        <d v="2005-01-28T00:00:00"/>
        <d v="2005-02-08T00:00:00"/>
        <d v="2005-02-15T00:00:00"/>
        <d v="2005-04-11T00:00:00"/>
        <d v="2005-06-18T00:00:00"/>
        <d v="2005-07-31T00:00:00"/>
        <d v="2005-08-09T00:00:00"/>
        <d v="2005-09-18T00:00:00"/>
        <d v="2005-10-15T00:00:00"/>
        <d v="2005-11-11T00:00:00"/>
        <d v="2006-02-23T00:00:00"/>
        <d v="2006-03-16T00:00:00"/>
        <d v="2006-04-18T00:00:00"/>
        <d v="2006-05-10T00:00:00"/>
        <d v="2006-06-11T00:00:00"/>
        <d v="2006-06-20T00:00:00"/>
        <d v="2006-07-11T00:00:00"/>
        <d v="2006-09-17T00:00:00"/>
        <d v="2006-10-15T00:00:00"/>
        <d v="2006-11-28T00:00:00"/>
        <d v="2006-12-12T00:00:00"/>
        <d v="2006-12-18T00:00:00"/>
        <d v="2006-12-29T00:00:00"/>
        <d v="2007-01-09T00:00:00"/>
        <d v="2007-01-27T00:00:00"/>
        <d v="2007-03-06T00:00:00"/>
        <d v="2007-03-13T00:00:00"/>
        <d v="2007-05-02T00:00:00"/>
        <d v="2007-05-30T00:00:00"/>
        <d v="2007-07-02T00:00:00"/>
        <d v="2007-07-30T00:00:00"/>
        <d v="2007-09-05T00:00:00"/>
        <d v="2007-09-07T00:00:00"/>
        <d v="2007-09-22T00:00:00"/>
        <d v="2007-10-12T00:00:00"/>
        <d v="2007-10-24T00:00:00"/>
        <d v="2007-11-05T00:00:00"/>
        <d v="2007-12-02T00:00:00"/>
        <d v="2008-02-09T00:00:00"/>
        <d v="2008-03-12T00:00:00"/>
        <d v="2008-04-30T00:00:00"/>
        <d v="2008-08-29T00:00:00"/>
        <d v="2008-10-13T00:00:00"/>
        <d v="2009-01-07T00:00:00"/>
        <d v="2009-01-28T00:00:00"/>
        <d v="2009-02-11T00:00:00"/>
        <d v="2009-02-28T00:00:00"/>
        <d v="2009-03-15T00:00:00"/>
        <d v="2009-05-11T00:00:00"/>
        <d v="2009-10-05T00:00:00"/>
        <d v="2009-10-06T00:00:00"/>
        <d v="2009-10-23T00:00:00"/>
        <d v="2009-12-12T00:00:00"/>
        <d v="2009-12-23T00:00:00"/>
        <d v="2010-01-14T00:00:00"/>
        <d v="2010-02-26T00:00:00"/>
        <d v="2010-03-11T00:00:00"/>
        <d v="2010-03-16T00:00:00"/>
        <d v="2010-04-06T00:00:00"/>
        <d v="2010-05-07T00:00:00"/>
        <d v="2010-05-09T00:00:00"/>
        <d v="2010-05-31T00:00:00"/>
        <d v="2010-06-04T00:00:00"/>
        <d v="2010-06-11T00:00:00"/>
        <d v="2010-07-24T00:00:00"/>
        <d v="2010-08-28T00:00:00"/>
        <d v="2010-09-10T00:00:00"/>
        <d v="2010-09-13T00:00:00"/>
        <d v="2010-10-17T00:00:00"/>
        <d v="2010-11-29T00:00:00"/>
        <d v="2011-01-17T00:00:00"/>
        <d v="2011-01-20T00:00:00"/>
        <d v="2011-02-14T00:00:00"/>
        <d v="2011-02-22T00:00:00"/>
        <d v="2011-03-18T00:00:00"/>
        <d v="2011-04-24T00:00:00"/>
        <d v="2011-04-30T00:00:00"/>
        <d v="2011-05-18T00:00:00"/>
        <d v="2011-06-25T00:00:00"/>
        <d v="2011-07-10T00:00:00"/>
        <d v="2011-07-20T00:00:00"/>
        <d v="2011-07-26T00:00:00"/>
        <d v="2011-10-10T00:00:00"/>
        <d v="2011-10-20T00:00:00"/>
        <d v="2011-11-28T00:00:00"/>
        <d v="2011-12-06T00:00:00"/>
        <d v="2011-12-22T00:00:00"/>
        <d v="2012-01-28T00:00:00"/>
        <d v="2012-02-13T00:00:00"/>
        <d v="2012-02-25T00:00:00"/>
        <d v="2012-02-28T00:00:00"/>
        <d v="2012-03-11T00:00:00"/>
        <d v="2012-03-15T00:00:00"/>
        <d v="2012-04-14T00:00:00"/>
        <d v="2012-04-27T00:00:00"/>
        <d v="2012-05-03T00:00:00"/>
        <d v="2012-05-11T00:00:00"/>
        <d v="2012-05-19T00:00:00"/>
        <d v="2012-06-11T00:00:00"/>
        <d v="2012-07-23T00:00:00"/>
        <d v="2012-08-10T00:00:00"/>
        <d v="2012-09-03T00:00:00"/>
        <d v="2012-10-20T00:00:00"/>
        <d v="2012-10-22T00:00:00"/>
        <d v="2012-10-26T00:00:00"/>
        <d v="2012-12-13T00:00:00"/>
        <d v="2013-02-13T00:00:00"/>
        <d v="2013-03-13T00:00:00"/>
        <d v="2013-03-29T00:00:00"/>
        <d v="2013-05-10T00:00:00"/>
        <d v="2013-06-03T00:00:00"/>
        <d v="2013-06-26T00:00:00"/>
        <d v="2013-07-13T00:00:00"/>
        <d v="2013-08-25T00:00:00"/>
        <d v="2013-08-30T00:00:00"/>
        <d v="2013-09-08T00:00:00"/>
        <d v="2013-09-26T00:00:00"/>
        <d v="2013-11-14T00:00:00"/>
        <d v="2014-01-08T00:00:00"/>
        <d v="2014-01-10T00:00:00"/>
        <d v="2014-01-16T00:00:00"/>
        <d v="2014-01-23T00:00:00"/>
        <d v="2014-02-10T00:00:00"/>
        <d v="2014-02-20T00:00:00"/>
        <d v="2014-02-22T00:00:00"/>
        <d v="2014-03-02T00:00:00"/>
        <d v="2014-03-08T00:00:00"/>
        <d v="2014-03-16T00:00:00"/>
        <d v="2014-04-20T00:00:00"/>
        <d v="2014-06-20T00:00:00"/>
        <d v="2014-06-23T00:00:00"/>
        <d v="2014-06-26T00:00:00"/>
        <d v="2014-06-29T00:00:00"/>
        <d v="2014-07-29T00:00:00"/>
        <d v="2014-08-07T00:00:00"/>
        <d v="2014-08-28T00:00:00"/>
        <d v="2014-09-22T00:00:00"/>
        <d v="2014-10-04T00:00:00"/>
        <d v="2014-11-21T00:00:00"/>
        <d v="2014-11-29T00:00:00"/>
        <d v="2014-12-04T00:00:00"/>
        <d v="2015-01-14T00:00:00"/>
        <d v="2015-01-22T00:00:00"/>
        <d v="2015-03-01T00:00:00"/>
        <d v="2015-04-22T00:00:00"/>
        <d v="2015-04-23T00:00:00"/>
        <d v="2015-06-11T00:00:00"/>
        <d v="2015-06-13T00:00:00"/>
        <d v="2015-06-29T00:00:00"/>
        <d v="2015-07-10T00:00:00"/>
        <d v="2015-07-12T00:00:00"/>
        <d v="2015-07-16T00:00:00"/>
        <d v="2015-07-29T00:00:00"/>
        <d v="2015-09-03T00:00:00"/>
        <d v="2015-09-24T00:00:00"/>
        <d v="2015-09-29T00:00:00"/>
        <d v="2015-10-08T00:00:00"/>
        <d v="2015-11-09T00:00:00"/>
        <d v="2015-11-10T00:00:00"/>
        <d v="2015-11-14T00:00:00"/>
        <d v="2016-01-15T00:00:00"/>
        <d v="2016-02-05T00:00:00"/>
        <d v="2016-02-28T00:00:00"/>
        <d v="2016-04-24T00:00:00"/>
        <d v="2016-04-29T00:00:00"/>
        <d v="2016-05-03T00:00:00"/>
        <d v="2016-05-04T00:00:00"/>
        <d v="2016-05-22T00:00:00"/>
        <d v="2016-08-20T00:00:00"/>
        <d v="2016-08-23T00:00:00"/>
        <d v="2016-09-09T00:00:00"/>
        <d v="2016-09-29T00:00:00"/>
        <d v="2016-10-24T00:00:00"/>
        <d v="2016-11-09T00:00:00"/>
        <d v="2016-11-11T00:00:00"/>
        <d v="2016-11-22T00:00:00"/>
        <d v="2016-12-07T00:00:00"/>
        <d v="2016-12-17T00:00:00"/>
        <d v="2017-01-03T00:00:00"/>
        <d v="2017-01-18T00:00:00"/>
        <d v="2017-01-24T00:00:00"/>
        <d v="2017-01-29T00:00:00"/>
        <d v="2017-02-10T00:00:00"/>
        <d v="2017-02-11T00:00:00"/>
        <d v="2017-02-12T00:00:00"/>
        <d v="2017-02-14T00:00:00"/>
        <d v="2017-03-06T00:00:00"/>
        <d v="2017-03-10T00:00:00"/>
        <d v="2017-03-25T00:00:00"/>
        <d v="2017-04-14T00:00:00"/>
        <d v="2017-05-12T00:00:00"/>
        <d v="2017-05-22T00:00:00"/>
        <d v="2017-05-29T00:00:00"/>
        <d v="2017-06-05T00:00:00"/>
        <d v="2017-06-25T00:00:00"/>
        <d v="2017-06-28T00:00:00"/>
        <d v="2017-07-06T00:00:00"/>
        <d v="2017-07-12T00:00:00"/>
        <d v="2017-07-22T00:00:00"/>
        <d v="2017-08-04T00:00:00"/>
        <d v="2017-08-16T00:00:00"/>
        <d v="2017-09-05T00:00:00"/>
        <d v="2017-09-07T00:00:00"/>
        <d v="2017-09-14T00:00:00"/>
        <d v="2017-09-24T00:00:00"/>
        <d v="2017-09-26T00:00:00"/>
        <d v="2017-10-21T00:00:00"/>
        <d v="2017-11-04T00:00:00"/>
        <d v="2017-11-09T00:00:00"/>
        <d v="2017-11-16T00:00:00"/>
        <d v="2017-11-22T00:00:00"/>
        <d v="2017-12-16T00:00:00"/>
        <d v="2018-01-03T00:00:00"/>
        <d v="2018-02-15T00:00:00"/>
        <d v="2018-02-16T00:00:00"/>
        <d v="2018-02-26T00:00:00"/>
        <d v="2018-03-10T00:00:00"/>
        <d v="2018-03-12T00:00:00"/>
        <d v="2018-03-16T00:00:00"/>
        <d v="2018-04-21T00:00:00"/>
        <d v="2018-04-29T00:00:00"/>
        <d v="2018-05-04T00:00:00"/>
        <d v="2018-05-07T00:00:00"/>
        <d v="2018-05-19T00:00:00"/>
        <d v="2018-05-20T00:00:00"/>
        <d v="2018-06-04T00:00:00"/>
        <d v="2018-08-10T00:00:00"/>
        <d v="2018-08-24T00:00:00"/>
        <d v="2018-09-02T00:00:00"/>
        <d v="2018-09-15T00:00:00"/>
        <d v="2018-09-25T00:00:00"/>
        <d v="2018-11-10T00:00:00"/>
        <d v="2018-12-06T00:00:00"/>
        <d v="2018-12-14T00:00:00"/>
        <d v="2019-02-06T00:00:00"/>
        <d v="2019-02-19T00:00:00"/>
        <d v="2019-03-03T00:00:00"/>
        <d v="2019-03-18T00:00:00"/>
        <d v="2019-03-29T00:00:00"/>
        <d v="2019-04-02T00:00:00"/>
        <d v="2019-04-26T00:00:00"/>
        <d v="2019-06-07T00:00:00"/>
        <d v="2019-06-10T00:00:00"/>
        <d v="2019-07-25T00:00:00"/>
        <d v="2019-08-18T00:00:00"/>
        <d v="2019-08-24T00:00:00"/>
        <d v="2019-09-20T00:00:00"/>
        <d v="2019-09-21T00:00:00"/>
        <d v="2019-10-25T00:00:00"/>
        <d v="2019-11-03T00:00:00"/>
        <d v="2019-11-07T00:00:00"/>
        <d v="2019-11-09T00:00:00"/>
        <d v="2019-12-05T00:00:00"/>
        <d v="2019-12-11T00:00:00"/>
        <d v="2019-12-16T00:00:00"/>
        <d v="2020-01-05T00:00:00"/>
        <d v="2020-02-02T00:00:00"/>
        <d v="2020-02-17T00:00:00"/>
        <d v="2020-03-08T00:00:00"/>
        <d v="2020-04-09T00:00:00"/>
        <d v="2020-04-16T00:00:00"/>
        <d v="2020-04-22T00:00:00"/>
        <d v="2020-05-09T00:00:00"/>
        <d v="2020-05-18T00:00:00"/>
        <d v="2020-05-26T00:00:00"/>
        <d v="2020-06-17T00:00:00"/>
        <d v="2020-07-20T00:00:00"/>
        <d v="2020-07-24T00:00:00"/>
        <d v="2020-07-26T00:00:00"/>
        <d v="2020-08-09T00:00:00"/>
        <d v="2020-09-12T00:00:00"/>
        <d v="2020-10-21T00:00:00"/>
        <d v="2020-11-08T00:00:00"/>
        <d v="2020-11-18T00:00:00"/>
        <d v="2020-12-24T00:00:00"/>
        <d v="2021-01-10T00:00:00"/>
        <d v="2021-01-17T00:00:00"/>
        <d v="2021-01-21T00:00:00"/>
        <d v="2021-01-22T00:00:00"/>
        <d v="2021-02-08T00:00:00"/>
        <d v="2021-02-14T00:00:00"/>
        <d v="2021-02-23T00:00:00"/>
        <d v="2021-02-24T00:00:00"/>
        <d v="2021-03-11T00:00:00"/>
        <d v="2021-03-15T00:00:00"/>
        <d v="2021-03-16T00:00:00"/>
        <d v="2021-03-19T00:00:00"/>
        <d v="2021-04-16T00:00:00"/>
        <d v="2021-04-17T00:00:00"/>
        <d v="2021-04-28T00:00:00"/>
        <d v="2021-06-10T00:00:00"/>
        <d v="2021-06-15T00:00:00"/>
        <d v="2021-06-23T00:00:00"/>
        <d v="2021-06-28T00:00:00"/>
        <d v="2021-07-02T00:00:00"/>
        <d v="2021-07-08T00:00:00"/>
        <d v="2021-07-26T00:00:00"/>
        <d v="2021-07-28T00:00:00"/>
        <d v="2021-08-02T00:00:00"/>
        <d v="2021-08-25T00:00:00"/>
        <d v="2021-09-06T00:00:00"/>
        <d v="2021-09-14T00:00:00"/>
        <d v="2021-09-15T00:00:00"/>
        <d v="2021-09-22T00:00:00"/>
        <d v="2021-10-26T00:00:00"/>
        <d v="2021-11-15T00:00:00"/>
        <d v="2021-11-19T00:00:00"/>
        <d v="2021-12-15T00:00:00"/>
        <d v="2021-12-18T00:00:00"/>
        <d v="2021-12-19T00:00:00"/>
        <d v="2021-12-26T00:00:00"/>
        <d v="1992-04-01T00:00:00"/>
        <d v="1992-04-08T00:00:00"/>
        <d v="1992-06-15T00:00:00"/>
        <d v="1992-06-30T00:00:00"/>
        <d v="1992-09-28T00:00:00"/>
        <d v="1992-12-20T00:00:00"/>
        <d v="1992-12-26T00:00:00"/>
        <d v="1993-07-26T00:00:00"/>
        <d v="1993-08-28T00:00:00"/>
        <d v="1993-11-17T00:00:00"/>
        <d v="1994-01-03T00:00:00"/>
        <d v="1994-06-20T00:00:00"/>
        <d v="1994-08-30T00:00:00"/>
        <d v="1994-09-15T00:00:00"/>
        <d v="1994-09-26T00:00:00"/>
        <d v="1994-10-09T00:00:00"/>
        <d v="1994-10-16T00:00:00"/>
        <d v="1994-10-24T00:00:00"/>
        <d v="1995-02-16T00:00:00"/>
        <d v="1995-04-13T00:00:00"/>
        <d v="1995-10-27T00:00:00"/>
        <d v="1995-10-29T00:00:00"/>
        <d v="1995-12-22T00:00:00"/>
        <d v="1996-02-18T00:00:00"/>
        <d v="1996-03-29T00:00:00"/>
        <d v="1996-04-02T00:00:00"/>
        <d v="1996-05-15T00:00:00"/>
        <d v="1996-06-14T00:00:00"/>
        <d v="1996-06-26T00:00:00"/>
        <d v="1997-01-26T00:00:00"/>
        <d v="1997-04-23T00:00:00"/>
        <d v="1997-07-30T00:00:00"/>
        <d v="1997-08-19T00:00:00"/>
        <d v="1997-10-23T00:00:00"/>
        <d v="1998-01-21T00:00:00"/>
        <d v="1998-02-26T00:00:00"/>
        <d v="1998-04-02T00:00:00"/>
        <d v="1998-04-22T00:00:00"/>
        <d v="1998-04-28T00:00:00"/>
        <d v="1998-05-04T00:00:00"/>
        <d v="1998-05-18T00:00:00"/>
        <d v="1998-07-14T00:00:00"/>
        <d v="1998-07-16T00:00:00"/>
        <d v="1998-07-22T00:00:00"/>
        <d v="1998-08-03T00:00:00"/>
        <d v="1998-09-24T00:00:00"/>
        <d v="1999-03-13T00:00:00"/>
        <d v="1999-03-14T00:00:00"/>
        <d v="1999-04-22T00:00:00"/>
        <d v="1999-06-20T00:00:00"/>
        <d v="1999-08-02T00:00:00"/>
        <d v="1999-09-13T00:00:00"/>
        <d v="1999-10-09T00:00:00"/>
        <d v="2000-02-28T00:00:00"/>
        <d v="2000-04-01T00:00:00"/>
        <d v="2000-04-28T00:00:00"/>
        <d v="2000-08-19T00:00:00"/>
        <d v="2000-09-01T00:00:00"/>
        <d v="2000-09-29T00:00:00"/>
        <d v="2001-01-02T00:00:00"/>
        <d v="2001-03-27T00:00:00"/>
        <d v="2001-03-29T00:00:00"/>
        <d v="2001-04-15T00:00:00"/>
        <d v="2001-07-19T00:00:00"/>
        <d v="2001-08-23T00:00:00"/>
        <d v="2001-10-20T00:00:00"/>
        <d v="2002-01-09T00:00:00"/>
        <d v="2002-02-09T00:00:00"/>
        <d v="2002-02-11T00:00:00"/>
        <d v="2002-02-26T00:00:00"/>
        <d v="2002-03-04T00:00:00"/>
        <d v="2002-05-23T00:00:00"/>
        <d v="2002-05-24T00:00:00"/>
        <d v="2002-06-11T00:00:00"/>
        <d v="2002-07-19T00:00:00"/>
        <d v="2002-08-16T00:00:00"/>
        <d v="2002-10-21T00:00:00"/>
        <d v="2003-02-10T00:00:00"/>
        <d v="2003-03-25T00:00:00"/>
        <d v="2003-04-15T00:00:00"/>
        <d v="2003-04-22T00:00:00"/>
        <d v="2003-07-26T00:00:00"/>
        <d v="2003-08-11T00:00:00"/>
        <d v="2003-10-20T00:00:00"/>
        <d v="2003-12-01T00:00:00"/>
        <d v="2004-01-14T00:00:00"/>
        <d v="2004-01-18T00:00:00"/>
        <d v="2004-01-27T00:00:00"/>
        <d v="2004-04-16T00:00:00"/>
        <d v="2004-04-30T00:00:00"/>
        <d v="2004-05-16T00:00:00"/>
        <d v="2004-05-23T00:00:00"/>
        <d v="2004-05-28T00:00:00"/>
        <d v="2004-07-08T00:00:00"/>
        <d v="2004-07-20T00:00:00"/>
        <d v="2004-08-15T00:00:00"/>
        <d v="2004-08-19T00:00:00"/>
        <d v="2004-08-20T00:00:00"/>
        <d v="2004-09-14T00:00:00"/>
        <d v="2004-10-11T00:00:00"/>
        <d v="2004-11-10T00:00:00"/>
        <d v="2004-12-07T00:00:00"/>
        <d v="2004-12-23T00:00:00"/>
        <d v="2005-02-05T00:00:00"/>
        <d v="2005-02-09T00:00:00"/>
        <d v="2005-02-23T00:00:00"/>
        <d v="2005-04-12T00:00:00"/>
        <d v="2005-04-22T00:00:00"/>
        <d v="2005-06-10T00:00:00"/>
        <d v="2005-07-07T00:00:00"/>
        <d v="2005-07-27T00:00:00"/>
        <d v="2005-08-20T00:00:00"/>
        <d v="2005-09-28T00:00:00"/>
        <d v="2005-10-07T00:00:00"/>
        <d v="2005-10-14T00:00:00"/>
        <d v="2005-10-17T00:00:00"/>
        <d v="2005-11-08T00:00:00"/>
        <d v="2005-11-28T00:00:00"/>
        <d v="2005-12-10T00:00:00"/>
        <d v="2006-01-31T00:00:00"/>
        <d v="2006-03-01T00:00:00"/>
        <d v="2006-04-06T00:00:00"/>
        <d v="2006-04-12T00:00:00"/>
        <d v="2006-04-28T00:00:00"/>
        <d v="2006-05-29T00:00:00"/>
        <d v="2006-07-21T00:00:00"/>
        <d v="2006-08-16T00:00:00"/>
        <d v="2006-09-07T00:00:00"/>
        <d v="2006-09-24T00:00:00"/>
        <d v="2006-09-27T00:00:00"/>
        <d v="2006-10-05T00:00:00"/>
        <d v="2006-10-12T00:00:00"/>
        <d v="2006-10-26T00:00:00"/>
        <d v="2006-10-28T00:00:00"/>
        <d v="2006-10-31T00:00:00"/>
        <d v="2006-12-13T00:00:00"/>
        <d v="2007-02-20T00:00:00"/>
        <d v="2007-02-24T00:00:00"/>
        <d v="2007-03-15T00:00:00"/>
        <d v="2007-04-05T00:00:00"/>
        <d v="2007-04-13T00:00:00"/>
        <d v="2007-04-25T00:00:00"/>
        <d v="2007-04-29T00:00:00"/>
        <d v="2007-05-27T00:00:00"/>
        <d v="2007-06-19T00:00:00"/>
        <d v="2007-08-08T00:00:00"/>
        <d v="2007-08-11T00:00:00"/>
        <d v="2007-08-16T00:00:00"/>
        <d v="2007-09-10T00:00:00"/>
        <d v="2007-10-02T00:00:00"/>
        <d v="2007-10-27T00:00:00"/>
        <d v="2007-12-21T00:00:00"/>
        <d v="2008-01-24T00:00:00"/>
        <d v="2008-01-27T00:00:00"/>
        <d v="2008-02-15T00:00:00"/>
        <d v="2008-02-28T00:00:00"/>
        <d v="2008-02-29T00:00:00"/>
        <d v="2008-03-21T00:00:00"/>
        <d v="2008-03-25T00:00:00"/>
        <d v="2008-04-06T00:00:00"/>
        <d v="2008-04-15T00:00:00"/>
        <d v="2008-07-05T00:00:00"/>
        <d v="2008-07-06T00:00:00"/>
        <d v="2008-07-11T00:00:00"/>
        <d v="2008-08-21T00:00:00"/>
        <d v="2008-09-10T00:00:00"/>
        <d v="2008-09-17T00:00:00"/>
        <d v="2008-10-07T00:00:00"/>
        <d v="2008-10-18T00:00:00"/>
        <d v="2008-10-26T00:00:00"/>
        <d v="2008-12-18T00:00:00"/>
        <d v="2009-01-17T00:00:00"/>
        <d v="2009-01-30T00:00:00"/>
        <d v="2009-03-13T00:00:00"/>
        <d v="2009-04-05T00:00:00"/>
        <d v="2009-04-09T00:00:00"/>
        <d v="2009-04-27T00:00:00"/>
        <d v="2009-04-28T00:00:00"/>
        <d v="2009-05-27T00:00:00"/>
        <d v="2009-06-04T00:00:00"/>
        <d v="2009-06-27T00:00:00"/>
        <d v="2009-06-30T00:00:00"/>
        <d v="2009-08-04T00:00:00"/>
        <d v="2009-08-15T00:00:00"/>
        <d v="2009-08-20T00:00:00"/>
        <d v="2009-09-04T00:00:00"/>
        <d v="2009-09-20T00:00:00"/>
        <d v="2009-09-27T00:00:00"/>
        <d v="2010-01-15T00:00:00"/>
        <d v="2010-02-24T00:00:00"/>
        <d v="2010-04-04T00:00:00"/>
        <d v="2010-04-19T00:00:00"/>
        <d v="2010-04-22T00:00:00"/>
        <d v="2010-04-23T00:00:00"/>
        <d v="2010-04-24T00:00:00"/>
        <d v="2010-04-25T00:00:00"/>
        <d v="2010-04-29T00:00:00"/>
        <d v="2010-05-21T00:00:00"/>
        <d v="2010-06-15T00:00:00"/>
        <d v="2010-07-01T00:00:00"/>
        <d v="2010-07-19T00:00:00"/>
        <d v="2010-07-30T00:00:00"/>
        <d v="2010-08-23T00:00:00"/>
        <d v="2010-09-14T00:00:00"/>
        <d v="2010-10-12T00:00:00"/>
        <d v="2010-11-04T00:00:00"/>
        <d v="2010-12-05T00:00:00"/>
        <d v="2010-12-10T00:00:00"/>
        <d v="2010-12-12T00:00:00"/>
        <d v="2010-12-23T00:00:00"/>
        <d v="2010-12-28T00:00:00"/>
        <d v="2010-12-30T00:00:00"/>
        <d v="2011-01-09T00:00:00"/>
        <d v="2011-01-22T00:00:00"/>
        <d v="2011-02-17T00:00:00"/>
        <d v="2011-02-19T00:00:00"/>
        <d v="2011-03-01T00:00:00"/>
        <d v="2011-03-16T00:00:00"/>
        <d v="2011-05-15T00:00:00"/>
        <d v="2011-05-20T00:00:00"/>
        <d v="2011-05-22T00:00:00"/>
        <d v="2011-05-29T00:00:00"/>
        <d v="2011-06-17T00:00:00"/>
        <d v="2011-07-21T00:00:00"/>
        <d v="2011-08-23T00:00:00"/>
        <d v="2011-09-07T00:00:00"/>
        <d v="2011-09-24T00:00:00"/>
        <d v="2011-10-04T00:00:00"/>
        <d v="2011-11-09T00:00:00"/>
        <d v="2011-11-21T00:00:00"/>
        <d v="2011-12-17T00:00:00"/>
        <d v="2012-01-09T00:00:00"/>
        <d v="2012-01-21T00:00:00"/>
        <d v="2012-02-05T00:00:00"/>
        <d v="2012-03-16T00:00:00"/>
        <d v="2012-04-25T00:00:00"/>
        <d v="2012-04-29T00:00:00"/>
        <d v="2012-05-14T00:00:00"/>
        <d v="2012-06-06T00:00:00"/>
        <d v="2012-06-25T00:00:00"/>
        <d v="2012-07-09T00:00:00"/>
        <d v="2012-07-26T00:00:00"/>
        <d v="2012-08-06T00:00:00"/>
        <d v="2012-08-09T00:00:00"/>
        <d v="2012-10-17T00:00:00"/>
        <d v="2012-11-24T00:00:00"/>
        <d v="2012-12-21T00:00:00"/>
        <d v="2012-12-24T00:00:00"/>
        <d v="2013-01-20T00:00:00"/>
        <d v="2013-02-10T00:00:00"/>
        <d v="2013-02-24T00:00:00"/>
        <d v="2013-02-28T00:00:00"/>
        <d v="2013-03-20T00:00:00"/>
        <d v="2013-03-30T00:00:00"/>
        <d v="2013-04-15T00:00:00"/>
        <d v="2013-04-18T00:00:00"/>
        <d v="2013-04-22T00:00:00"/>
        <d v="2013-05-15T00:00:00"/>
        <d v="2013-05-23T00:00:00"/>
        <d v="2013-06-04T00:00:00"/>
        <d v="2013-06-14T00:00:00"/>
        <d v="2013-06-21T00:00:00"/>
        <d v="2013-06-29T00:00:00"/>
        <d v="2013-07-18T00:00:00"/>
        <d v="2013-08-07T00:00:00"/>
        <d v="2013-08-13T00:00:00"/>
        <d v="2013-08-17T00:00:00"/>
        <d v="2013-08-21T00:00:00"/>
        <d v="2013-09-11T00:00:00"/>
        <d v="2013-10-18T00:00:00"/>
        <d v="2013-11-03T00:00:00"/>
        <d v="2013-11-12T00:00:00"/>
        <d v="2013-11-16T00:00:00"/>
        <d v="2013-11-23T00:00:00"/>
        <d v="2013-12-27T00:00:00"/>
        <d v="2014-01-03T00:00:00"/>
        <d v="2014-01-11T00:00:00"/>
        <d v="2014-02-05T00:00:00"/>
        <d v="2014-02-11T00:00:00"/>
        <d v="2014-02-25T00:00:00"/>
        <d v="2014-02-27T00:00:00"/>
        <d v="2014-03-05T00:00:00"/>
        <d v="2014-03-14T00:00:00"/>
        <d v="2014-03-19T00:00:00"/>
        <d v="2014-04-13T00:00:00"/>
        <d v="2014-04-19T00:00:00"/>
        <d v="2014-04-27T00:00:00"/>
        <d v="2014-05-10T00:00:00"/>
        <d v="2014-05-14T00:00:00"/>
        <d v="2014-05-30T00:00:00"/>
        <d v="2014-07-10T00:00:00"/>
        <d v="2014-07-19T00:00:00"/>
        <d v="2014-08-10T00:00:00"/>
        <d v="2014-09-04T00:00:00"/>
        <d v="2014-09-16T00:00:00"/>
        <d v="2014-09-25T00:00:00"/>
        <d v="2014-10-03T00:00:00"/>
        <d v="2014-10-07T00:00:00"/>
        <d v="2014-10-16T00:00:00"/>
        <d v="2014-10-19T00:00:00"/>
        <d v="2014-10-29T00:00:00"/>
        <d v="2014-11-30T00:00:00"/>
        <d v="2015-01-27T00:00:00"/>
        <d v="2015-02-18T00:00:00"/>
        <d v="2015-03-05T00:00:00"/>
        <d v="2015-03-15T00:00:00"/>
        <d v="2015-03-27T00:00:00"/>
        <d v="2015-04-07T00:00:00"/>
        <d v="2015-04-14T00:00:00"/>
        <d v="2015-04-17T00:00:00"/>
        <d v="2015-04-19T00:00:00"/>
        <d v="2015-05-05T00:00:00"/>
        <d v="2015-06-09T00:00:00"/>
        <d v="2015-06-10T00:00:00"/>
        <d v="2015-06-14T00:00:00"/>
        <d v="2015-06-18T00:00:00"/>
        <d v="2015-06-27T00:00:00"/>
        <d v="2015-08-03T00:00:00"/>
        <d v="2015-08-12T00:00:00"/>
        <d v="2015-08-29T00:00:00"/>
        <d v="2015-09-19T00:00:00"/>
        <d v="2015-09-23T00:00:00"/>
        <d v="2015-10-14T00:00:00"/>
        <d v="2015-11-17T00:00:00"/>
        <d v="2015-11-21T00:00:00"/>
        <d v="2015-12-09T00:00:00"/>
        <d v="2015-12-19T00:00:00"/>
        <d v="2015-12-27T00:00:00"/>
        <d v="2016-01-10T00:00:00"/>
        <d v="2016-01-18T00:00:00"/>
        <d v="2016-02-16T00:00:00"/>
        <d v="2016-03-08T00:00:00"/>
        <d v="2016-03-12T00:00:00"/>
        <d v="2016-03-14T00:00:00"/>
        <d v="2016-04-07T00:00:00"/>
        <d v="2016-04-08T00:00:00"/>
        <d v="2016-04-26T00:00:00"/>
        <d v="2016-04-27T00:00:00"/>
        <d v="2016-05-02T00:00:00"/>
        <d v="2016-05-07T00:00:00"/>
        <d v="2016-05-19T00:00:00"/>
        <d v="2016-05-24T00:00:00"/>
        <d v="2016-05-26T00:00:00"/>
        <d v="2016-06-12T00:00:00"/>
        <d v="2016-06-22T00:00:00"/>
        <d v="2016-06-24T00:00:00"/>
        <d v="2016-08-21T00:00:00"/>
        <d v="2016-09-03T00:00:00"/>
        <d v="2016-09-13T00:00:00"/>
        <d v="2016-09-18T00:00:00"/>
        <d v="2016-09-21T00:00:00"/>
        <d v="2016-10-13T00:00:00"/>
        <d v="2016-10-21T00:00:00"/>
        <d v="2016-11-02T00:00:00"/>
        <d v="2016-11-03T00:00:00"/>
        <d v="2016-11-17T00:00:00"/>
        <d v="2016-11-28T00:00:00"/>
        <d v="2016-12-02T00:00:00"/>
        <d v="2016-12-18T00:00:00"/>
        <d v="2016-12-27T00:00:00"/>
        <d v="2017-01-04T00:00:00"/>
        <d v="2017-01-05T00:00:00"/>
        <d v="2017-01-09T00:00:00"/>
        <d v="2017-01-10T00:00:00"/>
        <d v="2017-01-20T00:00:00"/>
        <d v="2017-01-26T00:00:00"/>
        <d v="2017-02-06T00:00:00"/>
        <d v="2017-02-19T00:00:00"/>
        <d v="2017-03-16T00:00:00"/>
        <d v="2017-04-18T00:00:00"/>
        <d v="2017-04-24T00:00:00"/>
        <d v="2017-05-03T00:00:00"/>
        <d v="2017-05-11T00:00:00"/>
        <d v="2017-05-23T00:00:00"/>
        <d v="2017-06-12T00:00:00"/>
        <d v="2017-06-26T00:00:00"/>
        <d v="2017-08-05T00:00:00"/>
        <d v="2017-08-10T00:00:00"/>
        <d v="2017-08-13T00:00:00"/>
        <d v="2017-08-25T00:00:00"/>
        <d v="2017-09-17T00:00:00"/>
        <d v="2017-09-21T00:00:00"/>
        <d v="2017-09-28T00:00:00"/>
        <d v="2017-10-02T00:00:00"/>
        <d v="2017-10-05T00:00:00"/>
        <d v="2017-10-20T00:00:00"/>
        <d v="2017-11-03T00:00:00"/>
        <d v="2017-11-19T00:00:00"/>
        <d v="2017-11-23T00:00:00"/>
        <d v="2017-12-17T00:00:00"/>
        <d v="2018-01-02T00:00:00"/>
        <d v="2018-01-11T00:00:00"/>
        <d v="2018-01-14T00:00:00"/>
        <d v="2018-01-21T00:00:00"/>
        <d v="2018-01-22T00:00:00"/>
        <d v="2018-03-06T00:00:00"/>
        <d v="2018-03-19T00:00:00"/>
        <d v="2018-03-26T00:00:00"/>
        <d v="2018-04-22T00:00:00"/>
        <d v="2018-04-27T00:00:00"/>
        <d v="2018-05-06T00:00:00"/>
        <d v="2018-05-09T00:00:00"/>
        <d v="2018-05-14T00:00:00"/>
        <d v="2018-05-27T00:00:00"/>
        <d v="2018-05-28T00:00:00"/>
        <d v="2018-06-02T00:00:00"/>
        <d v="2018-06-13T00:00:00"/>
        <d v="2018-06-21T00:00:00"/>
        <d v="2018-06-25T00:00:00"/>
        <d v="2018-07-18T00:00:00"/>
        <d v="2018-07-24T00:00:00"/>
        <d v="2018-07-28T00:00:00"/>
        <d v="2018-08-13T00:00:00"/>
        <d v="2018-08-18T00:00:00"/>
        <d v="2018-09-11T00:00:00"/>
        <d v="2018-09-20T00:00:00"/>
        <d v="2018-09-28T00:00:00"/>
        <d v="2018-10-02T00:00:00"/>
        <d v="2018-10-06T00:00:00"/>
        <d v="2018-10-24T00:00:00"/>
        <d v="2018-10-27T00:00:00"/>
        <d v="2018-11-09T00:00:00"/>
        <d v="2018-11-14T00:00:00"/>
        <d v="2018-12-05T00:00:00"/>
        <d v="2018-12-07T00:00:00"/>
        <d v="2018-12-10T00:00:00"/>
        <d v="2018-12-13T00:00:00"/>
        <d v="2018-12-18T00:00:00"/>
        <d v="2018-12-22T00:00:00"/>
        <d v="2018-12-27T00:00:00"/>
        <d v="2019-01-02T00:00:00"/>
        <d v="2019-01-19T00:00:00"/>
        <d v="2019-01-23T00:00:00"/>
        <d v="2019-01-24T00:00:00"/>
        <d v="2019-01-25T00:00:00"/>
        <d v="2019-01-28T00:00:00"/>
        <d v="2019-02-24T00:00:00"/>
        <d v="2019-02-25T00:00:00"/>
        <d v="2019-03-06T00:00:00"/>
        <d v="2019-03-12T00:00:00"/>
        <d v="2019-04-14T00:00:00"/>
        <d v="2019-04-23T00:00:00"/>
        <d v="2019-05-09T00:00:00"/>
        <d v="2019-05-15T00:00:00"/>
        <d v="2019-05-24T00:00:00"/>
        <d v="2019-05-25T00:00:00"/>
        <d v="2019-05-28T00:00:00"/>
        <d v="2019-06-17T00:00:00"/>
        <d v="2019-06-19T00:00:00"/>
        <d v="2019-06-22T00:00:00"/>
        <d v="2019-07-04T00:00:00"/>
        <d v="2019-07-06T00:00:00"/>
        <d v="2019-07-10T00:00:00"/>
        <d v="2019-07-13T00:00:00"/>
        <d v="2019-07-27T00:00:00"/>
        <d v="2019-08-08T00:00:00"/>
        <d v="2019-08-21T00:00:00"/>
        <d v="2019-08-26T00:00:00"/>
        <d v="2019-09-05T00:00:00"/>
        <d v="2019-09-07T00:00:00"/>
        <d v="2019-09-13T00:00:00"/>
        <d v="2019-09-24T00:00:00"/>
        <d v="2019-09-27T00:00:00"/>
        <d v="2019-10-14T00:00:00"/>
        <d v="2019-10-15T00:00:00"/>
        <d v="2019-10-18T00:00:00"/>
        <d v="2019-10-20T00:00:00"/>
        <d v="2019-11-04T00:00:00"/>
        <d v="2019-11-29T00:00:00"/>
        <d v="2019-12-10T00:00:00"/>
        <d v="2019-12-19T00:00:00"/>
        <d v="2019-12-20T00:00:00"/>
        <d v="2019-12-25T00:00:00"/>
        <d v="2020-01-13T00:00:00"/>
        <d v="2020-01-14T00:00:00"/>
        <d v="2020-01-17T00:00:00"/>
        <d v="2020-01-20T00:00:00"/>
        <d v="2020-02-03T00:00:00"/>
        <d v="2020-02-05T00:00:00"/>
        <d v="2020-02-07T00:00:00"/>
        <d v="2020-03-13T00:00:00"/>
        <d v="2020-03-14T00:00:00"/>
        <d v="2020-04-14T00:00:00"/>
        <d v="2020-04-15T00:00:00"/>
        <d v="2020-04-23T00:00:00"/>
        <d v="2020-04-27T00:00:00"/>
        <d v="2020-05-15T00:00:00"/>
        <d v="2020-05-16T00:00:00"/>
        <d v="2020-06-08T00:00:00"/>
        <d v="2020-06-14T00:00:00"/>
        <d v="2020-06-27T00:00:00"/>
        <d v="2020-07-01T00:00:00"/>
        <d v="2020-07-02T00:00:00"/>
        <d v="2020-07-03T00:00:00"/>
        <d v="2020-07-10T00:00:00"/>
        <d v="2020-07-12T00:00:00"/>
        <d v="2020-07-13T00:00:00"/>
        <d v="2020-07-18T00:00:00"/>
        <d v="2020-07-22T00:00:00"/>
        <d v="2020-07-28T00:00:00"/>
        <d v="2020-08-08T00:00:00"/>
        <d v="2020-08-15T00:00:00"/>
        <d v="2020-08-20T00:00:00"/>
        <d v="2020-08-26T00:00:00"/>
        <d v="2020-09-04T00:00:00"/>
        <d v="2020-09-18T00:00:00"/>
        <d v="2020-09-20T00:00:00"/>
        <d v="2020-09-21T00:00:00"/>
        <d v="2020-09-25T00:00:00"/>
        <d v="2020-09-27T00:00:00"/>
        <d v="2020-10-09T00:00:00"/>
        <d v="2020-10-20T00:00:00"/>
        <d v="2020-12-16T00:00:00"/>
        <d v="2020-12-27T00:00:00"/>
        <d v="2021-01-02T00:00:00"/>
        <d v="2021-01-08T00:00:00"/>
        <d v="2021-01-18T00:00:00"/>
        <d v="2021-01-23T00:00:00"/>
        <d v="2021-01-25T00:00:00"/>
        <d v="2021-01-28T00:00:00"/>
        <d v="2021-02-05T00:00:00"/>
        <d v="2021-02-09T00:00:00"/>
        <d v="2021-02-10T00:00:00"/>
        <d v="2021-03-02T00:00:00"/>
        <d v="2021-03-12T00:00:00"/>
        <d v="2021-03-17T00:00:00"/>
        <d v="2021-03-21T00:00:00"/>
        <d v="2021-03-28T00:00:00"/>
        <d v="2021-04-02T00:00:00"/>
        <d v="2021-04-09T00:00:00"/>
        <d v="2021-04-11T00:00:00"/>
        <d v="2021-04-18T00:00:00"/>
        <d v="2021-04-22T00:00:00"/>
        <d v="2021-05-09T00:00:00"/>
        <d v="2021-05-11T00:00:00"/>
        <d v="2021-06-27T00:00:00"/>
        <d v="2021-07-03T00:00:00"/>
        <d v="2021-07-16T00:00:00"/>
        <d v="2021-07-18T00:00:00"/>
        <d v="2021-07-25T00:00:00"/>
        <d v="2021-08-11T00:00:00"/>
        <d v="2021-08-27T00:00:00"/>
        <d v="2021-09-21T00:00:00"/>
        <d v="2021-09-26T00:00:00"/>
        <d v="2021-10-02T00:00:00"/>
        <d v="2021-10-05T00:00:00"/>
        <d v="2021-10-08T00:00:00"/>
        <d v="2021-10-09T00:00:00"/>
        <d v="2021-10-13T00:00:00"/>
        <d v="2021-10-17T00:00:00"/>
        <d v="2021-10-21T00:00:00"/>
        <d v="2021-11-16T00:00:00"/>
        <d v="2021-11-21T00:00:00"/>
        <d v="2021-12-24T00:00:00"/>
      </sharedItems>
      <fieldGroup par="17"/>
    </cacheField>
    <cacheField name="Annual Salary" numFmtId="165">
      <sharedItems containsSemiMixedTypes="0" containsString="0" containsNumber="1" containsInteger="1" minValue="29000" maxValue="258498"/>
    </cacheField>
    <cacheField name="Bonus %" numFmtId="166">
      <sharedItems containsSemiMixedTypes="0" containsString="0" containsNumber="1" minValue="0.05" maxValue="0.17" count="13">
        <n v="0.12"/>
        <n v="0.13"/>
        <n v="0.09"/>
        <n v="0.06"/>
        <n v="0.14000000000000001"/>
        <n v="0.08"/>
        <n v="0.17"/>
        <n v="7.0000000000000007E-2"/>
        <n v="0.11"/>
        <n v="0.15"/>
        <n v="0.16"/>
        <n v="0.05"/>
        <n v="0.1"/>
      </sharedItems>
    </cacheField>
    <cacheField name="Country" numFmtId="0">
      <sharedItems count="13">
        <s v="India"/>
        <s v="Japan"/>
        <s v="China"/>
        <s v="Sri Lanka"/>
        <s v="Vietnam"/>
        <s v="Indonesia"/>
        <s v="Bhutan"/>
        <s v="Malaysia"/>
        <s v="Bangladesh"/>
        <s v="South Korea"/>
        <s v="Tibet"/>
        <s v="United States"/>
        <s v="Brazil"/>
      </sharedItems>
    </cacheField>
    <cacheField name="City" numFmtId="0">
      <sharedItems count="141">
        <s v="Mumbai"/>
        <s v="Delhi"/>
        <s v="Tokyo"/>
        <s v="Kolkata"/>
        <s v="Beijing"/>
        <s v="Colombo"/>
        <s v="Chennai"/>
        <s v="Shanghai"/>
        <s v="Bangalore"/>
        <s v="Hyderabad"/>
        <s v="Osaka"/>
        <s v="Pune"/>
        <s v="Guangzhou"/>
        <s v="Kochi"/>
        <s v="Kyoto"/>
        <s v="Jaipur"/>
        <s v="Shenzhen"/>
        <s v="Ahmedabad"/>
        <s v="Lucknow"/>
        <s v="Tianjin"/>
        <s v="Indore"/>
        <s v="Surat"/>
        <s v="Chongqing"/>
        <s v="Kanpur"/>
        <s v="Nagpur"/>
        <s v="Chengdu"/>
        <s v="Thane"/>
        <s v="Wuhan"/>
        <s v="Ludhiana"/>
        <s v="Varanasi"/>
        <s v="Agra"/>
        <s v="Sapporo"/>
        <s v="Rajkot"/>
        <s v="Xi'an"/>
        <s v="Allahabad"/>
        <s v="Yokohama"/>
        <s v="Jabalpur"/>
        <s v="Vijayawada"/>
        <s v="Nagoya"/>
        <s v="Jodhpur"/>
        <s v="Harbin"/>
        <s v="Madurai"/>
        <s v="Nanjing"/>
        <s v="Coimbatore"/>
        <s v="Hangzhou"/>
        <s v="Amritsar"/>
        <s v="Mangalore"/>
        <s v="Jinan"/>
        <s v="Bhopal"/>
        <s v="Tiruchirapalli"/>
        <s v="Qingdao"/>
        <s v="Pondicherry"/>
        <s v="Udaipur"/>
        <s v="Ho Chi Minh City"/>
        <s v="Ranchi"/>
        <s v="Dalian"/>
        <s v="Jalandhar"/>
        <s v="Mysuru"/>
        <s v="Foshan"/>
        <s v="Raipur"/>
        <s v="Kawasaki"/>
        <s v="Patna"/>
        <s v="Guwahati"/>
        <s v="Jakarta"/>
        <s v="Chandigarh"/>
        <s v="Thimphu"/>
        <s v="Hanoi"/>
        <s v="Faridabad"/>
        <s v="Changsha"/>
        <s v="Zhengzhou"/>
        <s v="Kobe"/>
        <s v="Noida"/>
        <s v="Visakhapatnam"/>
        <s v="Kuala Lumpur"/>
        <s v="Aurangabad"/>
        <s v="Jamshedpur"/>
        <s v="Kunming"/>
        <s v="Cochin"/>
        <s v="Fuzhou"/>
        <s v="Changchun"/>
        <s v="Dhaka"/>
        <s v="Sendai"/>
        <s v="Gwalior"/>
        <s v="Wuxi"/>
        <s v="Kozhikode"/>
        <s v="Jaisalmer"/>
        <s v="Da Nang"/>
        <s v="Srinagar"/>
        <s v="Nanchang"/>
        <s v="Patiala"/>
        <s v="Penang"/>
        <s v="Shijiazhuang"/>
        <s v="Jamnagar"/>
        <s v="Bhavnagar"/>
        <s v="Hiroshima"/>
        <s v="Rajahmundry"/>
        <s v="Guntur"/>
        <s v="Thanjavur"/>
        <s v="Yantai"/>
        <s v="Hefei"/>
        <s v="Nagasaki"/>
        <s v="Bhubaneswar"/>
        <s v="Saitama"/>
        <s v="Kota"/>
        <s v="Okayama"/>
        <s v="Panipat"/>
        <s v="Surabaya"/>
        <s v="Nellore"/>
        <s v="Seoul"/>
        <s v="Nizamabad"/>
        <s v="Ningbo"/>
        <s v="Kollam"/>
        <s v="Xuzhou"/>
        <s v="Anantapur"/>
        <s v="Wenzhou"/>
        <s v="Warangal"/>
        <s v="Chiba"/>
        <s v="Vellore"/>
        <s v="Bhilai"/>
        <s v="Hohhot"/>
        <s v="Kakinada"/>
        <s v="Aligarh"/>
        <s v="Fukuoka"/>
        <s v="Salem"/>
        <s v="Busan"/>
        <s v="Lhasa"/>
        <s v="Hai Phong"/>
        <s v="Gorakhpur"/>
        <s v="Guiyang"/>
        <s v="Taiyuan"/>
        <s v="Bhilwara"/>
        <s v="Ayodhya"/>
        <s v="Phoenix"/>
        <s v="Miami"/>
        <s v="Sao Paulo"/>
        <s v="Chicago"/>
        <s v="Austin"/>
        <s v="Columbus"/>
        <s v="Manaus"/>
        <s v="Rio de Janerio"/>
        <s v="Seattle"/>
      </sharedItems>
    </cacheField>
    <cacheField name="Exit Date" numFmtId="14">
      <sharedItems containsDate="1" containsMixedTypes="1" minDate="1994-12-18T00:00:00" maxDate="2022-08-18T00:00:00"/>
    </cacheField>
    <cacheField name="Months (Hire Date)" numFmtId="0" databaseField="0">
      <fieldGroup base="9">
        <rangePr groupBy="months" startDate="1992-01-09T00:00:00" endDate="2021-12-27T00:00:00"/>
        <groupItems count="14">
          <s v="&lt;09-01-1992"/>
          <s v="Jan"/>
          <s v="Feb"/>
          <s v="Mar"/>
          <s v="Apr"/>
          <s v="May"/>
          <s v="Jun"/>
          <s v="Jul"/>
          <s v="Aug"/>
          <s v="Sep"/>
          <s v="Oct"/>
          <s v="Nov"/>
          <s v="Dec"/>
          <s v="&gt;27-12-2021"/>
        </groupItems>
      </fieldGroup>
    </cacheField>
    <cacheField name="Quarters (Hire Date)" numFmtId="0" databaseField="0">
      <fieldGroup base="9">
        <rangePr groupBy="quarters" startDate="1992-01-09T00:00:00" endDate="2021-12-27T00:00:00"/>
        <groupItems count="6">
          <s v="&lt;09-01-1992"/>
          <s v="Qtr1"/>
          <s v="Qtr2"/>
          <s v="Qtr3"/>
          <s v="Qtr4"/>
          <s v="&gt;27-12-2021"/>
        </groupItems>
      </fieldGroup>
    </cacheField>
    <cacheField name="Years (Hire Date)" numFmtId="0" databaseField="0">
      <fieldGroup base="9">
        <rangePr groupBy="years" startDate="1992-01-09T00:00:00" endDate="2021-12-27T00:00:00"/>
        <groupItems count="32">
          <s v="&lt;09-01-1992"/>
          <s v="1992"/>
          <s v="1993"/>
          <s v="1994"/>
          <s v="1995"/>
          <s v="1996"/>
          <s v="1997"/>
          <s v="1998"/>
          <s v="1999"/>
          <s v="2000"/>
          <s v="2001"/>
          <s v="2002"/>
          <s v="2003"/>
          <s v="2004"/>
          <s v="2005"/>
          <s v="2006"/>
          <s v="2007"/>
          <s v="2008"/>
          <s v="2009"/>
          <s v="2010"/>
          <s v="2011"/>
          <s v="2012"/>
          <s v="2013"/>
          <s v="2014"/>
          <s v="2015"/>
          <s v="2016"/>
          <s v="2017"/>
          <s v="2018"/>
          <s v="2019"/>
          <s v="2020"/>
          <s v="2021"/>
          <s v="&gt;27-12-2021"/>
        </groupItems>
      </fieldGroup>
    </cacheField>
  </cacheFields>
  <extLst>
    <ext xmlns:x14="http://schemas.microsoft.com/office/spreadsheetml/2009/9/main" uri="{725AE2AE-9491-48be-B2B4-4EB974FC3084}">
      <x14:pivotCacheDefinition pivotCacheId="12326325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01238"/>
    <s v="Aarav Patel"/>
    <x v="0"/>
    <x v="0"/>
    <x v="0"/>
    <x v="0"/>
    <s v="Asian"/>
    <n v="57"/>
    <x v="0"/>
    <x v="0"/>
    <n v="78000"/>
    <x v="0"/>
    <x v="0"/>
    <x v="0"/>
    <s v=""/>
  </r>
  <r>
    <s v="E03567"/>
    <s v="Aisha Khan"/>
    <x v="1"/>
    <x v="1"/>
    <x v="1"/>
    <x v="0"/>
    <s v="Asian"/>
    <n v="58"/>
    <x v="0"/>
    <x v="1"/>
    <n v="61000"/>
    <x v="1"/>
    <x v="0"/>
    <x v="1"/>
    <s v=""/>
  </r>
  <r>
    <s v="E04218"/>
    <s v="Akira Tanaka"/>
    <x v="2"/>
    <x v="2"/>
    <x v="1"/>
    <x v="1"/>
    <s v="Asian"/>
    <n v="57"/>
    <x v="0"/>
    <x v="2"/>
    <n v="76202"/>
    <x v="2"/>
    <x v="1"/>
    <x v="2"/>
    <d v="1994-12-18T00:00:00"/>
  </r>
  <r>
    <s v="E02715"/>
    <s v="Ananya Das"/>
    <x v="3"/>
    <x v="0"/>
    <x v="2"/>
    <x v="0"/>
    <s v="Asian"/>
    <n v="60"/>
    <x v="1"/>
    <x v="3"/>
    <n v="88213"/>
    <x v="3"/>
    <x v="0"/>
    <x v="3"/>
    <s v=""/>
  </r>
  <r>
    <s v="E04892"/>
    <s v="Bo Liu"/>
    <x v="4"/>
    <x v="1"/>
    <x v="0"/>
    <x v="0"/>
    <s v="Asian"/>
    <n v="52"/>
    <x v="0"/>
    <x v="4"/>
    <n v="99624"/>
    <x v="4"/>
    <x v="2"/>
    <x v="4"/>
    <s v=""/>
  </r>
  <r>
    <s v="E02873"/>
    <s v="Chamara Perera"/>
    <x v="5"/>
    <x v="2"/>
    <x v="1"/>
    <x v="0"/>
    <s v="Asian"/>
    <n v="51"/>
    <x v="0"/>
    <x v="5"/>
    <n v="122802"/>
    <x v="5"/>
    <x v="3"/>
    <x v="5"/>
    <s v=""/>
  </r>
  <r>
    <s v="E01862"/>
    <s v="Devi Sharma"/>
    <x v="6"/>
    <x v="3"/>
    <x v="0"/>
    <x v="1"/>
    <s v="Asian"/>
    <n v="58"/>
    <x v="0"/>
    <x v="6"/>
    <n v="93102"/>
    <x v="6"/>
    <x v="0"/>
    <x v="6"/>
    <d v="2013-12-13T00:00:00"/>
  </r>
  <r>
    <s v="E04910"/>
    <s v="Fan Wei"/>
    <x v="7"/>
    <x v="4"/>
    <x v="0"/>
    <x v="0"/>
    <s v="Asian"/>
    <n v="55"/>
    <x v="0"/>
    <x v="7"/>
    <n v="102270"/>
    <x v="6"/>
    <x v="2"/>
    <x v="7"/>
    <s v=""/>
  </r>
  <r>
    <s v="E01164"/>
    <s v="Gaurav Verma"/>
    <x v="8"/>
    <x v="2"/>
    <x v="1"/>
    <x v="0"/>
    <s v="Asian"/>
    <n v="55"/>
    <x v="0"/>
    <x v="8"/>
    <n v="99774"/>
    <x v="3"/>
    <x v="0"/>
    <x v="8"/>
    <s v=""/>
  </r>
  <r>
    <s v="E02934"/>
    <s v="Harini Reddy"/>
    <x v="9"/>
    <x v="0"/>
    <x v="1"/>
    <x v="1"/>
    <s v="Asian"/>
    <n v="55"/>
    <x v="0"/>
    <x v="9"/>
    <n v="80701"/>
    <x v="7"/>
    <x v="0"/>
    <x v="9"/>
    <d v="2005-04-14T00:00:00"/>
  </r>
  <r>
    <s v="E03689"/>
    <s v="Hiroshi Yamamoto"/>
    <x v="1"/>
    <x v="0"/>
    <x v="3"/>
    <x v="0"/>
    <s v="Asian"/>
    <n v="64"/>
    <x v="1"/>
    <x v="10"/>
    <n v="158787"/>
    <x v="3"/>
    <x v="1"/>
    <x v="10"/>
    <s v=""/>
  </r>
  <r>
    <s v="E03120"/>
    <s v="Ishaan Kapoor"/>
    <x v="7"/>
    <x v="3"/>
    <x v="2"/>
    <x v="0"/>
    <s v="Asian"/>
    <n v="55"/>
    <x v="0"/>
    <x v="11"/>
    <n v="125936"/>
    <x v="8"/>
    <x v="0"/>
    <x v="11"/>
    <s v=""/>
  </r>
  <r>
    <s v="E04635"/>
    <s v="Jia Li"/>
    <x v="4"/>
    <x v="5"/>
    <x v="2"/>
    <x v="0"/>
    <s v="Asian"/>
    <n v="55"/>
    <x v="0"/>
    <x v="12"/>
    <n v="95409"/>
    <x v="4"/>
    <x v="2"/>
    <x v="12"/>
    <s v=""/>
  </r>
  <r>
    <s v="E04345"/>
    <s v="Kavya Menon"/>
    <x v="1"/>
    <x v="2"/>
    <x v="0"/>
    <x v="1"/>
    <s v="Asian"/>
    <n v="52"/>
    <x v="0"/>
    <x v="13"/>
    <n v="159724"/>
    <x v="3"/>
    <x v="0"/>
    <x v="13"/>
    <s v=""/>
  </r>
  <r>
    <s v="E03319"/>
    <s v="Keisuke Nakamura"/>
    <x v="1"/>
    <x v="5"/>
    <x v="0"/>
    <x v="0"/>
    <s v="Asian"/>
    <n v="64"/>
    <x v="1"/>
    <x v="14"/>
    <n v="189933"/>
    <x v="0"/>
    <x v="1"/>
    <x v="14"/>
    <s v=""/>
  </r>
  <r>
    <s v="E04751"/>
    <s v="Lakshmi Naidu"/>
    <x v="2"/>
    <x v="2"/>
    <x v="3"/>
    <x v="1"/>
    <s v="Asian"/>
    <n v="56"/>
    <x v="0"/>
    <x v="15"/>
    <n v="82806"/>
    <x v="9"/>
    <x v="0"/>
    <x v="15"/>
    <s v=""/>
  </r>
  <r>
    <s v="E02748"/>
    <s v="Lei Chen"/>
    <x v="0"/>
    <x v="0"/>
    <x v="3"/>
    <x v="0"/>
    <s v="Asian"/>
    <n v="64"/>
    <x v="1"/>
    <x v="16"/>
    <n v="99354"/>
    <x v="10"/>
    <x v="2"/>
    <x v="16"/>
    <s v=""/>
  </r>
  <r>
    <s v="E03819"/>
    <s v="Malini Raj"/>
    <x v="7"/>
    <x v="3"/>
    <x v="3"/>
    <x v="0"/>
    <s v="Asian"/>
    <n v="54"/>
    <x v="0"/>
    <x v="17"/>
    <n v="128136"/>
    <x v="9"/>
    <x v="0"/>
    <x v="17"/>
    <s v=""/>
  </r>
  <r>
    <s v="E04023"/>
    <s v="Manoj Singh"/>
    <x v="4"/>
    <x v="1"/>
    <x v="3"/>
    <x v="0"/>
    <s v="Asian"/>
    <n v="59"/>
    <x v="0"/>
    <x v="18"/>
    <n v="83685"/>
    <x v="10"/>
    <x v="0"/>
    <x v="18"/>
    <s v=""/>
  </r>
  <r>
    <s v="E04486"/>
    <s v="Mei Wong"/>
    <x v="10"/>
    <x v="2"/>
    <x v="2"/>
    <x v="1"/>
    <s v="Asian"/>
    <n v="53"/>
    <x v="0"/>
    <x v="19"/>
    <n v="154388"/>
    <x v="9"/>
    <x v="2"/>
    <x v="19"/>
    <s v=""/>
  </r>
  <r>
    <s v="E04445"/>
    <s v="Naveen Kumar"/>
    <x v="11"/>
    <x v="3"/>
    <x v="3"/>
    <x v="0"/>
    <s v="Asian"/>
    <n v="57"/>
    <x v="0"/>
    <x v="20"/>
    <n v="54051"/>
    <x v="8"/>
    <x v="0"/>
    <x v="20"/>
    <d v="1998-10-11T00:00:00"/>
  </r>
  <r>
    <s v="E02708"/>
    <s v="Neha Shah"/>
    <x v="12"/>
    <x v="5"/>
    <x v="0"/>
    <x v="0"/>
    <s v="Asian"/>
    <n v="52"/>
    <x v="0"/>
    <x v="21"/>
    <n v="216999"/>
    <x v="11"/>
    <x v="0"/>
    <x v="21"/>
    <s v=""/>
  </r>
  <r>
    <s v="E01457"/>
    <s v="Peng Zhao"/>
    <x v="1"/>
    <x v="4"/>
    <x v="3"/>
    <x v="1"/>
    <s v="Asian"/>
    <n v="53"/>
    <x v="0"/>
    <x v="22"/>
    <n v="164399"/>
    <x v="5"/>
    <x v="2"/>
    <x v="22"/>
    <s v=""/>
  </r>
  <r>
    <s v="E03786"/>
    <s v="Priya Mishra"/>
    <x v="2"/>
    <x v="2"/>
    <x v="2"/>
    <x v="0"/>
    <s v="Asian"/>
    <n v="59"/>
    <x v="0"/>
    <x v="23"/>
    <n v="99975"/>
    <x v="3"/>
    <x v="0"/>
    <x v="23"/>
    <s v=""/>
  </r>
  <r>
    <s v="E03562"/>
    <s v="Rajesh Patel"/>
    <x v="12"/>
    <x v="4"/>
    <x v="3"/>
    <x v="1"/>
    <s v="Asian"/>
    <n v="52"/>
    <x v="0"/>
    <x v="24"/>
    <n v="182035"/>
    <x v="10"/>
    <x v="0"/>
    <x v="24"/>
    <s v=""/>
  </r>
  <r>
    <s v="E02261"/>
    <s v="Rina Kim"/>
    <x v="13"/>
    <x v="2"/>
    <x v="1"/>
    <x v="0"/>
    <s v="Asian"/>
    <n v="54"/>
    <x v="0"/>
    <x v="25"/>
    <n v="95239"/>
    <x v="12"/>
    <x v="2"/>
    <x v="25"/>
    <s v=""/>
  </r>
  <r>
    <s v="E04730"/>
    <s v="Santosh Kumar"/>
    <x v="7"/>
    <x v="5"/>
    <x v="2"/>
    <x v="0"/>
    <s v="Asian"/>
    <n v="64"/>
    <x v="1"/>
    <x v="26"/>
    <n v="122753"/>
    <x v="7"/>
    <x v="0"/>
    <x v="26"/>
    <s v=""/>
  </r>
  <r>
    <s v="E01909"/>
    <s v="Shu Zhang"/>
    <x v="14"/>
    <x v="0"/>
    <x v="1"/>
    <x v="0"/>
    <s v="Asian"/>
    <n v="55"/>
    <x v="0"/>
    <x v="27"/>
    <n v="86299"/>
    <x v="1"/>
    <x v="2"/>
    <x v="27"/>
    <s v=""/>
  </r>
  <r>
    <s v="E03575"/>
    <s v="Simran Chopra"/>
    <x v="1"/>
    <x v="4"/>
    <x v="0"/>
    <x v="0"/>
    <s v="Asian"/>
    <n v="49"/>
    <x v="0"/>
    <x v="28"/>
    <n v="191807"/>
    <x v="7"/>
    <x v="0"/>
    <x v="28"/>
    <s v=""/>
  </r>
  <r>
    <s v="E02594"/>
    <s v="Subhash Chandra"/>
    <x v="15"/>
    <x v="2"/>
    <x v="3"/>
    <x v="0"/>
    <s v="Asian"/>
    <n v="47"/>
    <x v="0"/>
    <x v="29"/>
    <n v="49404"/>
    <x v="9"/>
    <x v="0"/>
    <x v="29"/>
    <s v=""/>
  </r>
  <r>
    <s v="E04109"/>
    <s v="Suraj Sharma"/>
    <x v="0"/>
    <x v="0"/>
    <x v="1"/>
    <x v="0"/>
    <s v="Asian"/>
    <n v="57"/>
    <x v="0"/>
    <x v="30"/>
    <n v="95061"/>
    <x v="0"/>
    <x v="0"/>
    <x v="30"/>
    <s v=""/>
  </r>
  <r>
    <s v="E02623"/>
    <s v="Takumi Sato"/>
    <x v="16"/>
    <x v="4"/>
    <x v="2"/>
    <x v="0"/>
    <s v="Asian"/>
    <n v="52"/>
    <x v="0"/>
    <x v="31"/>
    <n v="68807"/>
    <x v="12"/>
    <x v="1"/>
    <x v="31"/>
    <d v="2015-11-30T00:00:00"/>
  </r>
  <r>
    <s v="E04312"/>
    <s v="Usha Gupta"/>
    <x v="7"/>
    <x v="5"/>
    <x v="2"/>
    <x v="0"/>
    <s v="Asian"/>
    <n v="52"/>
    <x v="0"/>
    <x v="32"/>
    <n v="116527"/>
    <x v="5"/>
    <x v="0"/>
    <x v="32"/>
    <s v=""/>
  </r>
  <r>
    <s v="E02476"/>
    <s v="Vishal Singh"/>
    <x v="4"/>
    <x v="5"/>
    <x v="3"/>
    <x v="1"/>
    <s v="Asian"/>
    <n v="63"/>
    <x v="1"/>
    <x v="33"/>
    <n v="89523"/>
    <x v="0"/>
    <x v="0"/>
    <x v="23"/>
    <s v=""/>
  </r>
  <r>
    <s v="E02849"/>
    <s v="Xia Chen"/>
    <x v="7"/>
    <x v="2"/>
    <x v="1"/>
    <x v="0"/>
    <s v="Asian"/>
    <n v="60"/>
    <x v="1"/>
    <x v="34"/>
    <n v="109059"/>
    <x v="10"/>
    <x v="2"/>
    <x v="33"/>
    <s v=""/>
  </r>
  <r>
    <s v="E03554"/>
    <s v="Yasmin Khan"/>
    <x v="8"/>
    <x v="2"/>
    <x v="1"/>
    <x v="0"/>
    <s v="Asian"/>
    <n v="45"/>
    <x v="2"/>
    <x v="35"/>
    <n v="91276"/>
    <x v="4"/>
    <x v="0"/>
    <x v="34"/>
    <s v=""/>
  </r>
  <r>
    <s v="E02613"/>
    <s v="Yuuki Tanaka"/>
    <x v="7"/>
    <x v="1"/>
    <x v="0"/>
    <x v="1"/>
    <s v="Asian"/>
    <n v="50"/>
    <x v="0"/>
    <x v="36"/>
    <n v="106428"/>
    <x v="6"/>
    <x v="1"/>
    <x v="35"/>
    <s v=""/>
  </r>
  <r>
    <s v="E03483"/>
    <s v="Zara Ali"/>
    <x v="17"/>
    <x v="1"/>
    <x v="3"/>
    <x v="1"/>
    <s v="Asian"/>
    <n v="45"/>
    <x v="2"/>
    <x v="37"/>
    <n v="60113"/>
    <x v="7"/>
    <x v="0"/>
    <x v="36"/>
    <s v=""/>
  </r>
  <r>
    <s v="E03440"/>
    <s v="Abhay Joshi"/>
    <x v="11"/>
    <x v="3"/>
    <x v="0"/>
    <x v="1"/>
    <s v="Asian"/>
    <n v="45"/>
    <x v="2"/>
    <x v="38"/>
    <n v="55563"/>
    <x v="5"/>
    <x v="0"/>
    <x v="37"/>
    <s v=""/>
  </r>
  <r>
    <s v="E01371"/>
    <s v="Ai Fujimoto"/>
    <x v="18"/>
    <x v="2"/>
    <x v="3"/>
    <x v="0"/>
    <s v="Asian"/>
    <n v="61"/>
    <x v="1"/>
    <x v="39"/>
    <n v="40063"/>
    <x v="10"/>
    <x v="1"/>
    <x v="38"/>
    <s v=""/>
  </r>
  <r>
    <s v="E01922"/>
    <s v="Anushka Singh"/>
    <x v="10"/>
    <x v="4"/>
    <x v="1"/>
    <x v="1"/>
    <s v="Asian"/>
    <n v="65"/>
    <x v="1"/>
    <x v="40"/>
    <n v="149417"/>
    <x v="2"/>
    <x v="0"/>
    <x v="39"/>
    <s v=""/>
  </r>
  <r>
    <s v="E02141"/>
    <s v="Bin Zhang"/>
    <x v="1"/>
    <x v="5"/>
    <x v="0"/>
    <x v="1"/>
    <s v="Asian"/>
    <n v="63"/>
    <x v="1"/>
    <x v="41"/>
    <n v="155320"/>
    <x v="6"/>
    <x v="2"/>
    <x v="40"/>
    <s v=""/>
  </r>
  <r>
    <s v="E04703"/>
    <s v="Chandrika Rao"/>
    <x v="19"/>
    <x v="2"/>
    <x v="2"/>
    <x v="1"/>
    <s v="Asian"/>
    <n v="50"/>
    <x v="0"/>
    <x v="42"/>
    <n v="97537"/>
    <x v="0"/>
    <x v="0"/>
    <x v="41"/>
    <s v=""/>
  </r>
  <r>
    <s v="E03140"/>
    <s v="Dai Li"/>
    <x v="20"/>
    <x v="2"/>
    <x v="2"/>
    <x v="0"/>
    <s v="Asian"/>
    <n v="50"/>
    <x v="0"/>
    <x v="43"/>
    <n v="73907"/>
    <x v="10"/>
    <x v="2"/>
    <x v="42"/>
    <s v=""/>
  </r>
  <r>
    <s v="E02466"/>
    <s v="Deepak Verma"/>
    <x v="10"/>
    <x v="6"/>
    <x v="2"/>
    <x v="1"/>
    <s v="Asian"/>
    <n v="49"/>
    <x v="0"/>
    <x v="44"/>
    <n v="129124"/>
    <x v="11"/>
    <x v="0"/>
    <x v="43"/>
    <s v=""/>
  </r>
  <r>
    <s v="E04512"/>
    <s v="Elena Chen"/>
    <x v="14"/>
    <x v="0"/>
    <x v="0"/>
    <x v="1"/>
    <s v="Asian"/>
    <n v="59"/>
    <x v="0"/>
    <x v="45"/>
    <n v="119699"/>
    <x v="9"/>
    <x v="2"/>
    <x v="44"/>
    <s v=""/>
  </r>
  <r>
    <s v="E04936"/>
    <s v="Farhan Khan"/>
    <x v="0"/>
    <x v="0"/>
    <x v="1"/>
    <x v="0"/>
    <s v="Asian"/>
    <n v="45"/>
    <x v="2"/>
    <x v="46"/>
    <n v="95743"/>
    <x v="3"/>
    <x v="0"/>
    <x v="45"/>
    <d v="2010-01-15T00:00:00"/>
  </r>
  <r>
    <s v="E01438"/>
    <s v="Gita Mehta"/>
    <x v="10"/>
    <x v="4"/>
    <x v="0"/>
    <x v="0"/>
    <s v="Asian"/>
    <n v="45"/>
    <x v="2"/>
    <x v="47"/>
    <n v="147752"/>
    <x v="8"/>
    <x v="0"/>
    <x v="46"/>
    <d v="2011-12-26T00:00:00"/>
  </r>
  <r>
    <s v="E04687"/>
    <s v="Han Li"/>
    <x v="9"/>
    <x v="0"/>
    <x v="2"/>
    <x v="1"/>
    <s v="Asian"/>
    <n v="46"/>
    <x v="0"/>
    <x v="48"/>
    <n v="90678"/>
    <x v="1"/>
    <x v="2"/>
    <x v="47"/>
    <s v=""/>
  </r>
  <r>
    <s v="E02300"/>
    <s v="Irfan Malik"/>
    <x v="1"/>
    <x v="1"/>
    <x v="0"/>
    <x v="0"/>
    <s v="Asian"/>
    <n v="49"/>
    <x v="0"/>
    <x v="49"/>
    <n v="199176"/>
    <x v="0"/>
    <x v="0"/>
    <x v="48"/>
    <s v=""/>
  </r>
  <r>
    <s v="E04623"/>
    <s v="Janani Ramesh"/>
    <x v="10"/>
    <x v="5"/>
    <x v="1"/>
    <x v="1"/>
    <s v="Asian"/>
    <n v="48"/>
    <x v="0"/>
    <x v="50"/>
    <n v="125730"/>
    <x v="0"/>
    <x v="0"/>
    <x v="49"/>
    <s v=""/>
  </r>
  <r>
    <s v="E03313"/>
    <s v="Jiawei Wang"/>
    <x v="16"/>
    <x v="4"/>
    <x v="0"/>
    <x v="0"/>
    <s v="Asian"/>
    <n v="65"/>
    <x v="1"/>
    <x v="51"/>
    <n v="74631"/>
    <x v="0"/>
    <x v="2"/>
    <x v="50"/>
    <s v=""/>
  </r>
  <r>
    <s v="E02568"/>
    <s v="Kala Krishnan"/>
    <x v="4"/>
    <x v="4"/>
    <x v="1"/>
    <x v="1"/>
    <s v="Asian"/>
    <n v="46"/>
    <x v="0"/>
    <x v="52"/>
    <n v="86510"/>
    <x v="6"/>
    <x v="0"/>
    <x v="51"/>
    <d v="2003-01-02T00:00:00"/>
  </r>
  <r>
    <s v="E02520"/>
    <s v="Karan Kapoor"/>
    <x v="10"/>
    <x v="5"/>
    <x v="2"/>
    <x v="0"/>
    <s v="Asian"/>
    <n v="63"/>
    <x v="1"/>
    <x v="53"/>
    <n v="128703"/>
    <x v="5"/>
    <x v="0"/>
    <x v="52"/>
    <s v=""/>
  </r>
  <r>
    <s v="E04941"/>
    <s v="Lina Nguyen"/>
    <x v="1"/>
    <x v="5"/>
    <x v="1"/>
    <x v="1"/>
    <s v="Asian"/>
    <n v="53"/>
    <x v="0"/>
    <x v="54"/>
    <n v="179494"/>
    <x v="9"/>
    <x v="4"/>
    <x v="53"/>
    <s v=""/>
  </r>
  <r>
    <s v="E03077"/>
    <s v="Manish Patel"/>
    <x v="1"/>
    <x v="1"/>
    <x v="0"/>
    <x v="1"/>
    <s v="Asian"/>
    <n v="45"/>
    <x v="2"/>
    <x v="55"/>
    <n v="165181"/>
    <x v="2"/>
    <x v="0"/>
    <x v="54"/>
    <s v=""/>
  </r>
  <r>
    <s v="E02315"/>
    <s v="Mei Ling"/>
    <x v="21"/>
    <x v="5"/>
    <x v="2"/>
    <x v="1"/>
    <s v="Asian"/>
    <n v="55"/>
    <x v="0"/>
    <x v="56"/>
    <n v="50475"/>
    <x v="3"/>
    <x v="2"/>
    <x v="55"/>
    <s v=""/>
  </r>
  <r>
    <s v="E03947"/>
    <s v="Nandini Desai"/>
    <x v="2"/>
    <x v="2"/>
    <x v="2"/>
    <x v="1"/>
    <s v="Asian"/>
    <n v="45"/>
    <x v="2"/>
    <x v="57"/>
    <n v="92655"/>
    <x v="5"/>
    <x v="0"/>
    <x v="56"/>
    <s v=""/>
  </r>
  <r>
    <s v="E04084"/>
    <s v="Prakash Reddy"/>
    <x v="1"/>
    <x v="1"/>
    <x v="0"/>
    <x v="0"/>
    <s v="Asian"/>
    <n v="45"/>
    <x v="2"/>
    <x v="58"/>
    <n v="166331"/>
    <x v="0"/>
    <x v="0"/>
    <x v="57"/>
    <s v=""/>
  </r>
  <r>
    <s v="E03826"/>
    <s v="Qing Chen"/>
    <x v="22"/>
    <x v="0"/>
    <x v="2"/>
    <x v="1"/>
    <s v="Asian"/>
    <n v="50"/>
    <x v="0"/>
    <x v="58"/>
    <n v="92209"/>
    <x v="2"/>
    <x v="2"/>
    <x v="58"/>
    <s v=""/>
  </r>
  <r>
    <s v="E03168"/>
    <s v="Ravi Kumar"/>
    <x v="21"/>
    <x v="5"/>
    <x v="3"/>
    <x v="1"/>
    <s v="Asian"/>
    <n v="62"/>
    <x v="1"/>
    <x v="59"/>
    <n v="49738"/>
    <x v="7"/>
    <x v="0"/>
    <x v="59"/>
    <s v=""/>
  </r>
  <r>
    <s v="E02072"/>
    <s v="Sakura Tanaka"/>
    <x v="6"/>
    <x v="3"/>
    <x v="0"/>
    <x v="0"/>
    <s v="Asian"/>
    <n v="53"/>
    <x v="0"/>
    <x v="60"/>
    <n v="95998"/>
    <x v="1"/>
    <x v="1"/>
    <x v="60"/>
    <s v=""/>
  </r>
  <r>
    <s v="E02797"/>
    <s v="Sanjay Verma"/>
    <x v="22"/>
    <x v="0"/>
    <x v="3"/>
    <x v="0"/>
    <s v="Asian"/>
    <n v="61"/>
    <x v="1"/>
    <x v="61"/>
    <n v="80950"/>
    <x v="5"/>
    <x v="0"/>
    <x v="61"/>
    <s v=""/>
  </r>
  <r>
    <s v="E02787"/>
    <s v="Seema Sharma"/>
    <x v="1"/>
    <x v="5"/>
    <x v="0"/>
    <x v="0"/>
    <s v="Asian"/>
    <n v="42"/>
    <x v="2"/>
    <x v="62"/>
    <n v="166599"/>
    <x v="7"/>
    <x v="0"/>
    <x v="62"/>
    <s v=""/>
  </r>
  <r>
    <s v="E04854"/>
    <s v="Siti Nurul"/>
    <x v="23"/>
    <x v="2"/>
    <x v="1"/>
    <x v="0"/>
    <s v="Asian"/>
    <n v="51"/>
    <x v="0"/>
    <x v="63"/>
    <n v="91399"/>
    <x v="8"/>
    <x v="5"/>
    <x v="63"/>
    <s v=""/>
  </r>
  <r>
    <s v="E03405"/>
    <s v="Sunil Gupta"/>
    <x v="12"/>
    <x v="3"/>
    <x v="2"/>
    <x v="1"/>
    <s v="Asian"/>
    <n v="49"/>
    <x v="0"/>
    <x v="64"/>
    <n v="211291"/>
    <x v="3"/>
    <x v="0"/>
    <x v="64"/>
    <s v=""/>
  </r>
  <r>
    <s v="E02752"/>
    <s v="Tashi Wangchuk"/>
    <x v="13"/>
    <x v="2"/>
    <x v="0"/>
    <x v="1"/>
    <s v="Asian"/>
    <n v="65"/>
    <x v="1"/>
    <x v="65"/>
    <n v="96548"/>
    <x v="7"/>
    <x v="6"/>
    <x v="65"/>
    <s v=""/>
  </r>
  <r>
    <s v="E03703"/>
    <s v="Trinh Nguyen"/>
    <x v="1"/>
    <x v="6"/>
    <x v="0"/>
    <x v="1"/>
    <s v="Asian"/>
    <n v="58"/>
    <x v="0"/>
    <x v="66"/>
    <n v="173071"/>
    <x v="3"/>
    <x v="4"/>
    <x v="66"/>
    <s v=""/>
  </r>
  <r>
    <s v="E03660"/>
    <s v="Varun Khanna"/>
    <x v="7"/>
    <x v="1"/>
    <x v="3"/>
    <x v="1"/>
    <s v="Asian"/>
    <n v="64"/>
    <x v="1"/>
    <x v="67"/>
    <n v="106444"/>
    <x v="9"/>
    <x v="0"/>
    <x v="67"/>
    <s v=""/>
  </r>
  <r>
    <s v="E04660"/>
    <s v="Wei Yang"/>
    <x v="16"/>
    <x v="5"/>
    <x v="2"/>
    <x v="1"/>
    <s v="Asian"/>
    <n v="48"/>
    <x v="0"/>
    <x v="68"/>
    <n v="55760"/>
    <x v="1"/>
    <x v="2"/>
    <x v="68"/>
    <s v=""/>
  </r>
  <r>
    <s v="E02093"/>
    <s v="Xian Wu"/>
    <x v="13"/>
    <x v="2"/>
    <x v="1"/>
    <x v="0"/>
    <s v="Asian"/>
    <n v="57"/>
    <x v="0"/>
    <x v="69"/>
    <n v="63318"/>
    <x v="11"/>
    <x v="2"/>
    <x v="69"/>
    <s v=""/>
  </r>
  <r>
    <s v="E03868"/>
    <s v="Yuki Tanaka"/>
    <x v="24"/>
    <x v="2"/>
    <x v="2"/>
    <x v="1"/>
    <s v="Asian"/>
    <n v="48"/>
    <x v="0"/>
    <x v="70"/>
    <n v="82017"/>
    <x v="6"/>
    <x v="1"/>
    <x v="70"/>
    <s v=""/>
  </r>
  <r>
    <s v="E02852"/>
    <s v="Zoya Malik"/>
    <x v="10"/>
    <x v="3"/>
    <x v="0"/>
    <x v="1"/>
    <s v="Asian"/>
    <n v="64"/>
    <x v="1"/>
    <x v="71"/>
    <n v="125807"/>
    <x v="9"/>
    <x v="0"/>
    <x v="71"/>
    <s v=""/>
  </r>
  <r>
    <s v="E04061"/>
    <s v="Aanya Singh"/>
    <x v="11"/>
    <x v="3"/>
    <x v="2"/>
    <x v="1"/>
    <s v="Asian"/>
    <n v="45"/>
    <x v="2"/>
    <x v="72"/>
    <n v="48345"/>
    <x v="2"/>
    <x v="0"/>
    <x v="72"/>
    <s v=""/>
  </r>
  <r>
    <s v="E03289"/>
    <s v="Aileen Lim"/>
    <x v="24"/>
    <x v="2"/>
    <x v="1"/>
    <x v="1"/>
    <s v="Asian"/>
    <n v="60"/>
    <x v="1"/>
    <x v="73"/>
    <n v="90258"/>
    <x v="10"/>
    <x v="7"/>
    <x v="73"/>
    <s v=""/>
  </r>
  <r>
    <s v="E02126"/>
    <s v="Akshay Deshmukh"/>
    <x v="12"/>
    <x v="1"/>
    <x v="0"/>
    <x v="0"/>
    <s v="Asian"/>
    <n v="56"/>
    <x v="0"/>
    <x v="74"/>
    <n v="216949"/>
    <x v="3"/>
    <x v="0"/>
    <x v="74"/>
    <s v=""/>
  </r>
  <r>
    <s v="E04231"/>
    <s v="Anjali Patel"/>
    <x v="10"/>
    <x v="1"/>
    <x v="2"/>
    <x v="1"/>
    <s v="Asian"/>
    <n v="46"/>
    <x v="0"/>
    <x v="75"/>
    <n v="158897"/>
    <x v="5"/>
    <x v="0"/>
    <x v="75"/>
    <s v=""/>
  </r>
  <r>
    <s v="E03111"/>
    <s v="Bai Xiu"/>
    <x v="9"/>
    <x v="0"/>
    <x v="2"/>
    <x v="1"/>
    <s v="Asian"/>
    <n v="45"/>
    <x v="2"/>
    <x v="76"/>
    <n v="109422"/>
    <x v="9"/>
    <x v="2"/>
    <x v="76"/>
    <s v=""/>
  </r>
  <r>
    <s v="E04265"/>
    <s v="Chandrika Rao"/>
    <x v="10"/>
    <x v="5"/>
    <x v="1"/>
    <x v="1"/>
    <s v="Asian"/>
    <n v="41"/>
    <x v="2"/>
    <x v="77"/>
    <n v="155004"/>
    <x v="5"/>
    <x v="0"/>
    <x v="77"/>
    <s v=""/>
  </r>
  <r>
    <s v="E04794"/>
    <s v="Dai Li"/>
    <x v="17"/>
    <x v="1"/>
    <x v="2"/>
    <x v="1"/>
    <s v="Asian"/>
    <n v="46"/>
    <x v="0"/>
    <x v="78"/>
    <n v="73004"/>
    <x v="0"/>
    <x v="2"/>
    <x v="78"/>
    <s v=""/>
  </r>
  <r>
    <s v="E03295"/>
    <s v="Deepak Verma"/>
    <x v="7"/>
    <x v="5"/>
    <x v="1"/>
    <x v="0"/>
    <s v="Asian"/>
    <n v="63"/>
    <x v="1"/>
    <x v="79"/>
    <n v="122487"/>
    <x v="1"/>
    <x v="0"/>
    <x v="36"/>
    <s v=""/>
  </r>
  <r>
    <s v="E01491"/>
    <s v="Elena Chen"/>
    <x v="1"/>
    <x v="6"/>
    <x v="1"/>
    <x v="1"/>
    <s v="Asian"/>
    <n v="60"/>
    <x v="1"/>
    <x v="80"/>
    <n v="186378"/>
    <x v="4"/>
    <x v="2"/>
    <x v="79"/>
    <s v=""/>
  </r>
  <r>
    <s v="E04484"/>
    <s v="Fahim Rahman"/>
    <x v="12"/>
    <x v="0"/>
    <x v="3"/>
    <x v="0"/>
    <s v="Asian"/>
    <n v="43"/>
    <x v="2"/>
    <x v="81"/>
    <n v="246231"/>
    <x v="7"/>
    <x v="8"/>
    <x v="80"/>
    <s v=""/>
  </r>
  <r>
    <s v="E01807"/>
    <s v="Geeta Sharma"/>
    <x v="7"/>
    <x v="3"/>
    <x v="0"/>
    <x v="0"/>
    <s v="Asian"/>
    <n v="48"/>
    <x v="0"/>
    <x v="82"/>
    <n v="120660"/>
    <x v="8"/>
    <x v="0"/>
    <x v="30"/>
    <s v=""/>
  </r>
  <r>
    <s v="E02777"/>
    <s v="Hanako Sato"/>
    <x v="1"/>
    <x v="4"/>
    <x v="1"/>
    <x v="0"/>
    <s v="Asian"/>
    <n v="45"/>
    <x v="2"/>
    <x v="83"/>
    <n v="168846"/>
    <x v="8"/>
    <x v="1"/>
    <x v="81"/>
    <s v=""/>
  </r>
  <r>
    <s v="E03510"/>
    <s v="Imran Khan"/>
    <x v="21"/>
    <x v="1"/>
    <x v="3"/>
    <x v="1"/>
    <s v="Asian"/>
    <n v="64"/>
    <x v="1"/>
    <x v="84"/>
    <n v="55369"/>
    <x v="10"/>
    <x v="0"/>
    <x v="82"/>
    <s v=""/>
  </r>
  <r>
    <s v="E03678"/>
    <s v="Jiayi Chen"/>
    <x v="7"/>
    <x v="2"/>
    <x v="0"/>
    <x v="1"/>
    <s v="Asian"/>
    <n v="55"/>
    <x v="0"/>
    <x v="85"/>
    <n v="115145"/>
    <x v="10"/>
    <x v="2"/>
    <x v="83"/>
    <s v=""/>
  </r>
  <r>
    <s v="E04135"/>
    <s v="Kalaivani Raj"/>
    <x v="25"/>
    <x v="1"/>
    <x v="1"/>
    <x v="1"/>
    <s v="Asian"/>
    <n v="41"/>
    <x v="2"/>
    <x v="86"/>
    <n v="95372"/>
    <x v="9"/>
    <x v="0"/>
    <x v="84"/>
    <s v=""/>
  </r>
  <r>
    <s v="E03684"/>
    <s v="Karan Kapoor"/>
    <x v="10"/>
    <x v="4"/>
    <x v="3"/>
    <x v="0"/>
    <s v="Asian"/>
    <n v="45"/>
    <x v="2"/>
    <x v="87"/>
    <n v="128468"/>
    <x v="8"/>
    <x v="0"/>
    <x v="85"/>
    <s v=""/>
  </r>
  <r>
    <s v="E02153"/>
    <s v="Lina Nguyen"/>
    <x v="2"/>
    <x v="2"/>
    <x v="2"/>
    <x v="1"/>
    <s v="Asian"/>
    <n v="58"/>
    <x v="0"/>
    <x v="88"/>
    <n v="86089"/>
    <x v="3"/>
    <x v="4"/>
    <x v="86"/>
    <s v=""/>
  </r>
  <r>
    <s v="E03175"/>
    <s v="Manish Patel"/>
    <x v="12"/>
    <x v="5"/>
    <x v="3"/>
    <x v="1"/>
    <s v="Asian"/>
    <n v="43"/>
    <x v="2"/>
    <x v="89"/>
    <n v="249686"/>
    <x v="2"/>
    <x v="0"/>
    <x v="87"/>
    <s v=""/>
  </r>
  <r>
    <s v="E04699"/>
    <s v="Mei Xiang"/>
    <x v="26"/>
    <x v="2"/>
    <x v="2"/>
    <x v="1"/>
    <s v="Asian"/>
    <n v="55"/>
    <x v="0"/>
    <x v="90"/>
    <n v="92771"/>
    <x v="5"/>
    <x v="2"/>
    <x v="88"/>
    <s v=""/>
  </r>
  <r>
    <s v="E03846"/>
    <s v="Naina Verma"/>
    <x v="19"/>
    <x v="2"/>
    <x v="3"/>
    <x v="0"/>
    <s v="Asian"/>
    <n v="45"/>
    <x v="2"/>
    <x v="91"/>
    <n v="67686"/>
    <x v="12"/>
    <x v="0"/>
    <x v="23"/>
    <s v=""/>
  </r>
  <r>
    <s v="E01324"/>
    <s v="Nikhil Sharma"/>
    <x v="27"/>
    <x v="2"/>
    <x v="2"/>
    <x v="1"/>
    <s v="Asian"/>
    <n v="42"/>
    <x v="2"/>
    <x v="92"/>
    <n v="67398"/>
    <x v="1"/>
    <x v="0"/>
    <x v="89"/>
    <s v=""/>
  </r>
  <r>
    <s v="E04657"/>
    <s v="Ong Su"/>
    <x v="6"/>
    <x v="3"/>
    <x v="0"/>
    <x v="1"/>
    <s v="Asian"/>
    <n v="60"/>
    <x v="1"/>
    <x v="93"/>
    <n v="78388"/>
    <x v="7"/>
    <x v="7"/>
    <x v="90"/>
    <s v=""/>
  </r>
  <r>
    <s v="E04182"/>
    <s v="Pooja Patel"/>
    <x v="28"/>
    <x v="3"/>
    <x v="1"/>
    <x v="1"/>
    <s v="Asian"/>
    <n v="44"/>
    <x v="2"/>
    <x v="94"/>
    <n v="63705"/>
    <x v="6"/>
    <x v="0"/>
    <x v="29"/>
    <s v=""/>
  </r>
  <r>
    <s v="E02180"/>
    <s v="Qian Zhang"/>
    <x v="0"/>
    <x v="0"/>
    <x v="3"/>
    <x v="1"/>
    <s v="Asian"/>
    <n v="65"/>
    <x v="1"/>
    <x v="95"/>
    <n v="83756"/>
    <x v="9"/>
    <x v="2"/>
    <x v="91"/>
    <s v=""/>
  </r>
  <r>
    <s v="E01857"/>
    <s v="Rahul Kapoor"/>
    <x v="10"/>
    <x v="2"/>
    <x v="2"/>
    <x v="1"/>
    <s v="Asian"/>
    <n v="49"/>
    <x v="0"/>
    <x v="96"/>
    <n v="134486"/>
    <x v="3"/>
    <x v="0"/>
    <x v="92"/>
    <s v=""/>
  </r>
  <r>
    <s v="E03523"/>
    <s v="Reshma Khan"/>
    <x v="21"/>
    <x v="5"/>
    <x v="2"/>
    <x v="0"/>
    <s v="Asian"/>
    <n v="56"/>
    <x v="0"/>
    <x v="97"/>
    <n v="41561"/>
    <x v="9"/>
    <x v="0"/>
    <x v="93"/>
    <s v=""/>
  </r>
  <r>
    <s v="E04155"/>
    <s v="Satoshi Takahashi"/>
    <x v="7"/>
    <x v="4"/>
    <x v="3"/>
    <x v="1"/>
    <s v="Asian"/>
    <n v="43"/>
    <x v="2"/>
    <x v="98"/>
    <n v="117278"/>
    <x v="0"/>
    <x v="1"/>
    <x v="94"/>
    <s v=""/>
  </r>
  <r>
    <s v="E04274"/>
    <s v="Shivani Gupta"/>
    <x v="10"/>
    <x v="6"/>
    <x v="0"/>
    <x v="1"/>
    <s v="Asian"/>
    <n v="55"/>
    <x v="0"/>
    <x v="99"/>
    <n v="142628"/>
    <x v="10"/>
    <x v="0"/>
    <x v="95"/>
    <s v=""/>
  </r>
  <r>
    <s v="E04739"/>
    <s v="Surya Menon"/>
    <x v="4"/>
    <x v="4"/>
    <x v="3"/>
    <x v="0"/>
    <s v="Asian"/>
    <n v="55"/>
    <x v="0"/>
    <x v="100"/>
    <n v="93343"/>
    <x v="8"/>
    <x v="0"/>
    <x v="96"/>
    <s v=""/>
  </r>
  <r>
    <s v="E03333"/>
    <s v="Tian Wu"/>
    <x v="17"/>
    <x v="1"/>
    <x v="2"/>
    <x v="1"/>
    <s v="Asian"/>
    <n v="62"/>
    <x v="1"/>
    <x v="101"/>
    <n v="64669"/>
    <x v="7"/>
    <x v="2"/>
    <x v="68"/>
    <s v=""/>
  </r>
  <r>
    <s v="E03545"/>
    <s v="Umesh Singh"/>
    <x v="10"/>
    <x v="5"/>
    <x v="1"/>
    <x v="1"/>
    <s v="Asian"/>
    <n v="43"/>
    <x v="2"/>
    <x v="102"/>
    <n v="153492"/>
    <x v="1"/>
    <x v="0"/>
    <x v="46"/>
    <s v=""/>
  </r>
  <r>
    <s v="E04463"/>
    <s v="Vani Krishnan"/>
    <x v="1"/>
    <x v="3"/>
    <x v="3"/>
    <x v="0"/>
    <s v="Asian"/>
    <n v="39"/>
    <x v="2"/>
    <x v="103"/>
    <n v="161690"/>
    <x v="5"/>
    <x v="0"/>
    <x v="97"/>
    <s v=""/>
  </r>
  <r>
    <s v="E04640"/>
    <s v="Wei Li"/>
    <x v="10"/>
    <x v="6"/>
    <x v="2"/>
    <x v="0"/>
    <s v="Asian"/>
    <n v="45"/>
    <x v="2"/>
    <x v="104"/>
    <n v="149537"/>
    <x v="4"/>
    <x v="2"/>
    <x v="98"/>
    <s v=""/>
  </r>
  <r>
    <s v="E02238"/>
    <s v="Xiu Ying"/>
    <x v="20"/>
    <x v="2"/>
    <x v="3"/>
    <x v="1"/>
    <s v="Asian"/>
    <n v="45"/>
    <x v="2"/>
    <x v="105"/>
    <n v="68337"/>
    <x v="0"/>
    <x v="2"/>
    <x v="99"/>
    <s v=""/>
  </r>
  <r>
    <s v="E03051"/>
    <s v="Yukihiro Sato"/>
    <x v="21"/>
    <x v="6"/>
    <x v="0"/>
    <x v="1"/>
    <s v="Asian"/>
    <n v="54"/>
    <x v="0"/>
    <x v="106"/>
    <n v="55518"/>
    <x v="5"/>
    <x v="1"/>
    <x v="100"/>
    <s v=""/>
  </r>
  <r>
    <s v="E04862"/>
    <s v="Zainab Khan"/>
    <x v="27"/>
    <x v="2"/>
    <x v="3"/>
    <x v="1"/>
    <s v="Asian"/>
    <n v="48"/>
    <x v="0"/>
    <x v="107"/>
    <n v="74546"/>
    <x v="11"/>
    <x v="0"/>
    <x v="101"/>
    <s v=""/>
  </r>
  <r>
    <s v="E02667"/>
    <s v="Aanya Singh"/>
    <x v="12"/>
    <x v="4"/>
    <x v="1"/>
    <x v="0"/>
    <s v="Asian"/>
    <n v="60"/>
    <x v="1"/>
    <x v="108"/>
    <n v="234311"/>
    <x v="4"/>
    <x v="0"/>
    <x v="72"/>
    <s v=""/>
  </r>
  <r>
    <s v="E02658"/>
    <s v="Akihiko Tanaka"/>
    <x v="1"/>
    <x v="6"/>
    <x v="2"/>
    <x v="1"/>
    <s v="Asian"/>
    <n v="63"/>
    <x v="1"/>
    <x v="109"/>
    <n v="193044"/>
    <x v="3"/>
    <x v="1"/>
    <x v="102"/>
    <s v=""/>
  </r>
  <r>
    <s v="E03038"/>
    <s v="Anushka Singh"/>
    <x v="1"/>
    <x v="2"/>
    <x v="0"/>
    <x v="0"/>
    <s v="Asian"/>
    <n v="55"/>
    <x v="0"/>
    <x v="110"/>
    <n v="184648"/>
    <x v="2"/>
    <x v="0"/>
    <x v="39"/>
    <s v=""/>
  </r>
  <r>
    <s v="E04674"/>
    <s v="Bin Zhang"/>
    <x v="6"/>
    <x v="3"/>
    <x v="2"/>
    <x v="1"/>
    <s v="Asian"/>
    <n v="63"/>
    <x v="1"/>
    <x v="111"/>
    <n v="72805"/>
    <x v="9"/>
    <x v="2"/>
    <x v="27"/>
    <s v=""/>
  </r>
  <r>
    <s v="E03732"/>
    <s v="Charu Mehta"/>
    <x v="1"/>
    <x v="3"/>
    <x v="3"/>
    <x v="1"/>
    <s v="Asian"/>
    <n v="38"/>
    <x v="2"/>
    <x v="112"/>
    <n v="198562"/>
    <x v="8"/>
    <x v="0"/>
    <x v="103"/>
    <s v=""/>
  </r>
  <r>
    <s v="E03012"/>
    <s v="Daichi Tanaka"/>
    <x v="27"/>
    <x v="2"/>
    <x v="2"/>
    <x v="0"/>
    <s v="Asian"/>
    <n v="40"/>
    <x v="2"/>
    <x v="113"/>
    <n v="93971"/>
    <x v="9"/>
    <x v="1"/>
    <x v="104"/>
    <s v=""/>
  </r>
  <r>
    <s v="E04563"/>
    <s v="Ekta Verma"/>
    <x v="15"/>
    <x v="2"/>
    <x v="2"/>
    <x v="0"/>
    <s v="Asian"/>
    <n v="40"/>
    <x v="2"/>
    <x v="114"/>
    <n v="41859"/>
    <x v="6"/>
    <x v="0"/>
    <x v="105"/>
    <s v=""/>
  </r>
  <r>
    <s v="E03282"/>
    <s v="Fadil Rahman"/>
    <x v="12"/>
    <x v="5"/>
    <x v="1"/>
    <x v="1"/>
    <s v="Asian"/>
    <n v="54"/>
    <x v="0"/>
    <x v="115"/>
    <n v="183239"/>
    <x v="1"/>
    <x v="5"/>
    <x v="106"/>
    <s v=""/>
  </r>
  <r>
    <s v="E02008"/>
    <s v="Gyan Kapoor"/>
    <x v="10"/>
    <x v="1"/>
    <x v="2"/>
    <x v="0"/>
    <s v="Asian"/>
    <n v="45"/>
    <x v="2"/>
    <x v="116"/>
    <n v="151027"/>
    <x v="2"/>
    <x v="0"/>
    <x v="107"/>
    <s v=""/>
  </r>
  <r>
    <s v="E04302"/>
    <s v="Hana Kim"/>
    <x v="4"/>
    <x v="4"/>
    <x v="1"/>
    <x v="0"/>
    <s v="Asian"/>
    <n v="45"/>
    <x v="2"/>
    <x v="117"/>
    <n v="92293"/>
    <x v="4"/>
    <x v="9"/>
    <x v="108"/>
    <s v=""/>
  </r>
  <r>
    <s v="E02362"/>
    <s v="Imtiyaz Ali"/>
    <x v="1"/>
    <x v="5"/>
    <x v="1"/>
    <x v="0"/>
    <s v="Asian"/>
    <n v="58"/>
    <x v="0"/>
    <x v="118"/>
    <n v="162038"/>
    <x v="5"/>
    <x v="0"/>
    <x v="109"/>
    <s v=""/>
  </r>
  <r>
    <s v="E03460"/>
    <s v="Jiaying Chen"/>
    <x v="28"/>
    <x v="3"/>
    <x v="0"/>
    <x v="0"/>
    <s v="Asian"/>
    <n v="41"/>
    <x v="2"/>
    <x v="119"/>
    <n v="51630"/>
    <x v="0"/>
    <x v="2"/>
    <x v="110"/>
    <s v=""/>
  </r>
  <r>
    <s v="E04718"/>
    <s v="Kavitha Naidu"/>
    <x v="4"/>
    <x v="4"/>
    <x v="1"/>
    <x v="1"/>
    <s v="Asian"/>
    <n v="39"/>
    <x v="2"/>
    <x v="120"/>
    <n v="99017"/>
    <x v="10"/>
    <x v="0"/>
    <x v="46"/>
    <s v=""/>
  </r>
  <r>
    <s v="E02207"/>
    <s v="Krish Menon"/>
    <x v="16"/>
    <x v="5"/>
    <x v="0"/>
    <x v="1"/>
    <s v="Asian"/>
    <n v="55"/>
    <x v="0"/>
    <x v="121"/>
    <n v="64494"/>
    <x v="2"/>
    <x v="0"/>
    <x v="111"/>
    <s v=""/>
  </r>
  <r>
    <s v="E02706"/>
    <s v="Lei Wang"/>
    <x v="27"/>
    <x v="2"/>
    <x v="3"/>
    <x v="0"/>
    <s v="Asian"/>
    <n v="53"/>
    <x v="0"/>
    <x v="122"/>
    <n v="84193"/>
    <x v="12"/>
    <x v="2"/>
    <x v="112"/>
    <s v=""/>
  </r>
  <r>
    <s v="E04054"/>
    <s v="Mala Reddy"/>
    <x v="1"/>
    <x v="4"/>
    <x v="1"/>
    <x v="0"/>
    <s v="Asian"/>
    <n v="45"/>
    <x v="2"/>
    <x v="123"/>
    <n v="186138"/>
    <x v="7"/>
    <x v="0"/>
    <x v="113"/>
    <s v=""/>
  </r>
  <r>
    <s v="E04405"/>
    <s v="Manu Singh"/>
    <x v="12"/>
    <x v="2"/>
    <x v="1"/>
    <x v="1"/>
    <s v="Asian"/>
    <n v="53"/>
    <x v="0"/>
    <x v="124"/>
    <n v="182202"/>
    <x v="6"/>
    <x v="0"/>
    <x v="103"/>
    <s v=""/>
  </r>
  <r>
    <s v="E02869"/>
    <s v="Mei Xiu"/>
    <x v="10"/>
    <x v="4"/>
    <x v="1"/>
    <x v="1"/>
    <s v="Asian"/>
    <n v="59"/>
    <x v="0"/>
    <x v="125"/>
    <n v="157969"/>
    <x v="1"/>
    <x v="2"/>
    <x v="114"/>
    <s v=""/>
  </r>
  <r>
    <s v="E04692"/>
    <s v="Mohan Kumar"/>
    <x v="12"/>
    <x v="0"/>
    <x v="2"/>
    <x v="1"/>
    <s v="Asian"/>
    <n v="50"/>
    <x v="0"/>
    <x v="126"/>
    <n v="181801"/>
    <x v="0"/>
    <x v="0"/>
    <x v="115"/>
    <d v="2019-12-11T00:00:00"/>
  </r>
  <r>
    <s v="E01478"/>
    <s v="Naoki Sato"/>
    <x v="15"/>
    <x v="2"/>
    <x v="1"/>
    <x v="1"/>
    <s v="Asian"/>
    <n v="55"/>
    <x v="0"/>
    <x v="127"/>
    <n v="47032"/>
    <x v="9"/>
    <x v="1"/>
    <x v="116"/>
    <s v=""/>
  </r>
  <r>
    <s v="E01385"/>
    <s v="Nisha Verma"/>
    <x v="28"/>
    <x v="3"/>
    <x v="2"/>
    <x v="1"/>
    <s v="Asian"/>
    <n v="44"/>
    <x v="2"/>
    <x v="128"/>
    <n v="53301"/>
    <x v="6"/>
    <x v="0"/>
    <x v="117"/>
    <s v=""/>
  </r>
  <r>
    <s v="E03503"/>
    <s v="Omar Malik"/>
    <x v="10"/>
    <x v="3"/>
    <x v="2"/>
    <x v="1"/>
    <s v="Asian"/>
    <n v="36"/>
    <x v="2"/>
    <x v="129"/>
    <n v="157333"/>
    <x v="7"/>
    <x v="8"/>
    <x v="80"/>
    <s v=""/>
  </r>
  <r>
    <s v="E03304"/>
    <s v="Priyanaka Patel"/>
    <x v="12"/>
    <x v="4"/>
    <x v="3"/>
    <x v="0"/>
    <s v="Asian"/>
    <n v="40"/>
    <x v="2"/>
    <x v="130"/>
    <n v="242919"/>
    <x v="12"/>
    <x v="0"/>
    <x v="118"/>
    <s v=""/>
  </r>
  <r>
    <s v="E02728"/>
    <s v="Qi Zhang"/>
    <x v="26"/>
    <x v="2"/>
    <x v="2"/>
    <x v="1"/>
    <s v="Asian"/>
    <n v="62"/>
    <x v="1"/>
    <x v="131"/>
    <n v="82839"/>
    <x v="5"/>
    <x v="2"/>
    <x v="119"/>
    <s v=""/>
  </r>
  <r>
    <s v="E04206"/>
    <s v="Rahul Singh"/>
    <x v="29"/>
    <x v="0"/>
    <x v="2"/>
    <x v="0"/>
    <s v="Asian"/>
    <n v="60"/>
    <x v="1"/>
    <x v="132"/>
    <n v="62239"/>
    <x v="9"/>
    <x v="0"/>
    <x v="120"/>
    <s v=""/>
  </r>
  <r>
    <s v="E02167"/>
    <s v="Roshni Kapoor"/>
    <x v="7"/>
    <x v="5"/>
    <x v="1"/>
    <x v="0"/>
    <s v="Asian"/>
    <n v="52"/>
    <x v="0"/>
    <x v="133"/>
    <n v="122890"/>
    <x v="12"/>
    <x v="0"/>
    <x v="121"/>
    <s v=""/>
  </r>
  <r>
    <s v="E03025"/>
    <s v="Satoshi Tanaka"/>
    <x v="7"/>
    <x v="5"/>
    <x v="1"/>
    <x v="1"/>
    <s v="Asian"/>
    <n v="61"/>
    <x v="1"/>
    <x v="134"/>
    <n v="103096"/>
    <x v="3"/>
    <x v="1"/>
    <x v="122"/>
    <s v=""/>
  </r>
  <r>
    <s v="E03671"/>
    <s v="Shiva Menon"/>
    <x v="4"/>
    <x v="6"/>
    <x v="0"/>
    <x v="0"/>
    <s v="Asian"/>
    <n v="50"/>
    <x v="0"/>
    <x v="135"/>
    <n v="79447"/>
    <x v="9"/>
    <x v="0"/>
    <x v="123"/>
    <s v=""/>
  </r>
  <r>
    <s v="E03838"/>
    <s v="Soo Kim"/>
    <x v="7"/>
    <x v="3"/>
    <x v="2"/>
    <x v="0"/>
    <s v="Asian"/>
    <n v="42"/>
    <x v="2"/>
    <x v="136"/>
    <n v="114242"/>
    <x v="7"/>
    <x v="9"/>
    <x v="124"/>
    <s v=""/>
  </r>
  <r>
    <s v="E04961"/>
    <s v="Tenzin Wangchuk"/>
    <x v="22"/>
    <x v="0"/>
    <x v="0"/>
    <x v="0"/>
    <s v="Asian"/>
    <n v="59"/>
    <x v="0"/>
    <x v="137"/>
    <n v="78006"/>
    <x v="7"/>
    <x v="10"/>
    <x v="125"/>
    <s v=""/>
  </r>
  <r>
    <s v="E02678"/>
    <s v="Trang Nguyen"/>
    <x v="7"/>
    <x v="5"/>
    <x v="1"/>
    <x v="0"/>
    <s v="Asian"/>
    <n v="39"/>
    <x v="2"/>
    <x v="138"/>
    <n v="103504"/>
    <x v="8"/>
    <x v="4"/>
    <x v="126"/>
    <s v=""/>
  </r>
  <r>
    <s v="E02214"/>
    <s v="Veer Khanna"/>
    <x v="30"/>
    <x v="2"/>
    <x v="0"/>
    <x v="0"/>
    <s v="Asian"/>
    <n v="45"/>
    <x v="2"/>
    <x v="139"/>
    <n v="90770"/>
    <x v="9"/>
    <x v="0"/>
    <x v="127"/>
    <s v=""/>
  </r>
  <r>
    <s v="E04606"/>
    <s v="Weiwei Chen"/>
    <x v="10"/>
    <x v="3"/>
    <x v="3"/>
    <x v="1"/>
    <s v="Asian"/>
    <n v="36"/>
    <x v="2"/>
    <x v="140"/>
    <n v="134006"/>
    <x v="7"/>
    <x v="2"/>
    <x v="128"/>
    <s v=""/>
  </r>
  <r>
    <s v="E04163"/>
    <s v="Xiaoli Zhang"/>
    <x v="24"/>
    <x v="2"/>
    <x v="2"/>
    <x v="0"/>
    <s v="Asian"/>
    <n v="45"/>
    <x v="2"/>
    <x v="141"/>
    <n v="88182"/>
    <x v="7"/>
    <x v="2"/>
    <x v="129"/>
    <s v=""/>
  </r>
  <r>
    <s v="E04619"/>
    <s v="Yash Joshi"/>
    <x v="10"/>
    <x v="5"/>
    <x v="3"/>
    <x v="0"/>
    <s v="Asian"/>
    <n v="44"/>
    <x v="2"/>
    <x v="142"/>
    <n v="142878"/>
    <x v="9"/>
    <x v="0"/>
    <x v="130"/>
    <s v=""/>
  </r>
  <r>
    <s v="E04984"/>
    <s v="Aanya Singh"/>
    <x v="10"/>
    <x v="3"/>
    <x v="1"/>
    <x v="0"/>
    <s v="Asian"/>
    <n v="45"/>
    <x v="2"/>
    <x v="143"/>
    <n v="145093"/>
    <x v="6"/>
    <x v="0"/>
    <x v="72"/>
    <s v=""/>
  </r>
  <r>
    <s v="E03191"/>
    <s v="Akihiko Tanaka"/>
    <x v="16"/>
    <x v="1"/>
    <x v="1"/>
    <x v="1"/>
    <s v="Asian"/>
    <n v="42"/>
    <x v="2"/>
    <x v="144"/>
    <n v="67743"/>
    <x v="10"/>
    <x v="1"/>
    <x v="102"/>
    <d v="2014-12-25T00:00:00"/>
  </r>
  <r>
    <s v="E02718"/>
    <s v="Anushka Singh"/>
    <x v="21"/>
    <x v="5"/>
    <x v="3"/>
    <x v="1"/>
    <s v="Asian"/>
    <n v="44"/>
    <x v="2"/>
    <x v="145"/>
    <n v="47387"/>
    <x v="7"/>
    <x v="0"/>
    <x v="39"/>
    <d v="2018-01-08T00:00:00"/>
  </r>
  <r>
    <s v="E04763"/>
    <s v="Bin Zhang"/>
    <x v="16"/>
    <x v="1"/>
    <x v="0"/>
    <x v="0"/>
    <s v="Asian"/>
    <n v="41"/>
    <x v="2"/>
    <x v="146"/>
    <n v="72425"/>
    <x v="0"/>
    <x v="2"/>
    <x v="27"/>
    <s v=""/>
  </r>
  <r>
    <s v="E04539"/>
    <s v="Charu Mehta"/>
    <x v="1"/>
    <x v="6"/>
    <x v="2"/>
    <x v="0"/>
    <s v="Asian"/>
    <n v="55"/>
    <x v="0"/>
    <x v="147"/>
    <n v="187389"/>
    <x v="6"/>
    <x v="0"/>
    <x v="103"/>
    <s v=""/>
  </r>
  <r>
    <s v="E01944"/>
    <s v="Daichi Tanaka"/>
    <x v="10"/>
    <x v="2"/>
    <x v="0"/>
    <x v="1"/>
    <s v="Asian"/>
    <n v="60"/>
    <x v="1"/>
    <x v="148"/>
    <n v="126911"/>
    <x v="6"/>
    <x v="1"/>
    <x v="104"/>
    <s v=""/>
  </r>
  <r>
    <s v="E02731"/>
    <s v="Ekta Verma"/>
    <x v="23"/>
    <x v="2"/>
    <x v="1"/>
    <x v="1"/>
    <s v="Asian"/>
    <n v="45"/>
    <x v="2"/>
    <x v="149"/>
    <n v="82162"/>
    <x v="9"/>
    <x v="0"/>
    <x v="105"/>
    <d v="2020-10-03T00:00:00"/>
  </r>
  <r>
    <s v="E03476"/>
    <s v="Fadil Rahman"/>
    <x v="2"/>
    <x v="2"/>
    <x v="3"/>
    <x v="1"/>
    <s v="Asian"/>
    <n v="49"/>
    <x v="0"/>
    <x v="150"/>
    <n v="72826"/>
    <x v="11"/>
    <x v="5"/>
    <x v="106"/>
    <s v=""/>
  </r>
  <r>
    <s v="E03388"/>
    <s v="Gyan Kapoor"/>
    <x v="1"/>
    <x v="4"/>
    <x v="1"/>
    <x v="1"/>
    <s v="Asian"/>
    <n v="36"/>
    <x v="2"/>
    <x v="151"/>
    <n v="157070"/>
    <x v="5"/>
    <x v="0"/>
    <x v="107"/>
    <s v=""/>
  </r>
  <r>
    <s v="E04682"/>
    <s v="Hana Kim"/>
    <x v="1"/>
    <x v="6"/>
    <x v="3"/>
    <x v="1"/>
    <s v="Asian"/>
    <n v="55"/>
    <x v="0"/>
    <x v="152"/>
    <n v="188727"/>
    <x v="10"/>
    <x v="9"/>
    <x v="108"/>
    <s v=""/>
  </r>
  <r>
    <s v="E02286"/>
    <s v="Imtiyaz Ali"/>
    <x v="10"/>
    <x v="2"/>
    <x v="0"/>
    <x v="0"/>
    <s v="Asian"/>
    <n v="37"/>
    <x v="2"/>
    <x v="153"/>
    <n v="146961"/>
    <x v="8"/>
    <x v="0"/>
    <x v="109"/>
    <s v=""/>
  </r>
  <r>
    <s v="E04420"/>
    <s v="Jiaying Chen"/>
    <x v="10"/>
    <x v="3"/>
    <x v="0"/>
    <x v="1"/>
    <s v="Asian"/>
    <n v="37"/>
    <x v="2"/>
    <x v="154"/>
    <n v="131353"/>
    <x v="4"/>
    <x v="2"/>
    <x v="110"/>
    <s v=""/>
  </r>
  <r>
    <s v="E03896"/>
    <s v="Kavitha Naidu"/>
    <x v="25"/>
    <x v="1"/>
    <x v="1"/>
    <x v="1"/>
    <s v="Asian"/>
    <n v="40"/>
    <x v="2"/>
    <x v="155"/>
    <n v="96719"/>
    <x v="9"/>
    <x v="0"/>
    <x v="46"/>
    <s v=""/>
  </r>
  <r>
    <s v="E03152"/>
    <s v="Krish Menon"/>
    <x v="1"/>
    <x v="4"/>
    <x v="2"/>
    <x v="1"/>
    <s v="Asian"/>
    <n v="64"/>
    <x v="1"/>
    <x v="156"/>
    <n v="171217"/>
    <x v="6"/>
    <x v="0"/>
    <x v="111"/>
    <s v=""/>
  </r>
  <r>
    <s v="E03964"/>
    <s v="Lei Wang"/>
    <x v="11"/>
    <x v="3"/>
    <x v="0"/>
    <x v="0"/>
    <s v="Asian"/>
    <n v="35"/>
    <x v="2"/>
    <x v="157"/>
    <n v="43336"/>
    <x v="7"/>
    <x v="2"/>
    <x v="112"/>
    <d v="2020-07-12T00:00:00"/>
  </r>
  <r>
    <s v="E03129"/>
    <s v="Mala Reddy"/>
    <x v="10"/>
    <x v="5"/>
    <x v="2"/>
    <x v="1"/>
    <s v="Asian"/>
    <n v="42"/>
    <x v="2"/>
    <x v="158"/>
    <n v="150034"/>
    <x v="2"/>
    <x v="0"/>
    <x v="113"/>
    <s v=""/>
  </r>
  <r>
    <s v="E04784"/>
    <s v="Manu Singh"/>
    <x v="21"/>
    <x v="5"/>
    <x v="0"/>
    <x v="0"/>
    <s v="Asian"/>
    <n v="46"/>
    <x v="0"/>
    <x v="159"/>
    <n v="55894"/>
    <x v="7"/>
    <x v="0"/>
    <x v="103"/>
    <s v=""/>
  </r>
  <r>
    <s v="E03982"/>
    <s v="Mei Xiu"/>
    <x v="10"/>
    <x v="5"/>
    <x v="3"/>
    <x v="1"/>
    <s v="Asian"/>
    <n v="37"/>
    <x v="2"/>
    <x v="159"/>
    <n v="131183"/>
    <x v="5"/>
    <x v="2"/>
    <x v="114"/>
    <d v="2016-03-16T00:00:00"/>
  </r>
  <r>
    <s v="E04338"/>
    <s v="Mohan Kumar"/>
    <x v="22"/>
    <x v="0"/>
    <x v="0"/>
    <x v="0"/>
    <s v="Asian"/>
    <n v="55"/>
    <x v="0"/>
    <x v="160"/>
    <n v="89419"/>
    <x v="9"/>
    <x v="0"/>
    <x v="115"/>
    <s v=""/>
  </r>
  <r>
    <s v="E02740"/>
    <s v="Naoki Sato"/>
    <x v="12"/>
    <x v="6"/>
    <x v="0"/>
    <x v="0"/>
    <s v="Asian"/>
    <n v="59"/>
    <x v="0"/>
    <x v="161"/>
    <n v="192213"/>
    <x v="2"/>
    <x v="1"/>
    <x v="116"/>
    <s v=""/>
  </r>
  <r>
    <s v="E02440"/>
    <s v="Nisha Verma"/>
    <x v="12"/>
    <x v="2"/>
    <x v="2"/>
    <x v="0"/>
    <s v="Asian"/>
    <n v="37"/>
    <x v="2"/>
    <x v="162"/>
    <n v="221592"/>
    <x v="9"/>
    <x v="0"/>
    <x v="117"/>
    <s v=""/>
  </r>
  <r>
    <s v="E02100"/>
    <s v="Omar Malik"/>
    <x v="12"/>
    <x v="5"/>
    <x v="3"/>
    <x v="1"/>
    <s v="Asian"/>
    <n v="54"/>
    <x v="0"/>
    <x v="163"/>
    <n v="247022"/>
    <x v="0"/>
    <x v="8"/>
    <x v="80"/>
    <s v=""/>
  </r>
  <r>
    <s v="E04580"/>
    <s v="Priyanaka Patel"/>
    <x v="8"/>
    <x v="2"/>
    <x v="1"/>
    <x v="1"/>
    <s v="Asian"/>
    <n v="53"/>
    <x v="0"/>
    <x v="164"/>
    <n v="86173"/>
    <x v="6"/>
    <x v="0"/>
    <x v="118"/>
    <s v=""/>
  </r>
  <r>
    <s v="E02784"/>
    <s v="Qi Zhang"/>
    <x v="4"/>
    <x v="6"/>
    <x v="0"/>
    <x v="0"/>
    <s v="Asian"/>
    <n v="34"/>
    <x v="2"/>
    <x v="165"/>
    <n v="97231"/>
    <x v="4"/>
    <x v="2"/>
    <x v="119"/>
    <s v=""/>
  </r>
  <r>
    <s v="E02083"/>
    <s v="Rahul Singh"/>
    <x v="12"/>
    <x v="0"/>
    <x v="2"/>
    <x v="0"/>
    <s v="Asian"/>
    <n v="35"/>
    <x v="2"/>
    <x v="166"/>
    <n v="245482"/>
    <x v="7"/>
    <x v="0"/>
    <x v="120"/>
    <s v=""/>
  </r>
  <r>
    <s v="E03598"/>
    <s v="Roshni Kapoor"/>
    <x v="0"/>
    <x v="0"/>
    <x v="3"/>
    <x v="0"/>
    <s v="Asian"/>
    <n v="46"/>
    <x v="0"/>
    <x v="167"/>
    <n v="114250"/>
    <x v="3"/>
    <x v="0"/>
    <x v="121"/>
    <s v=""/>
  </r>
  <r>
    <s v="E02725"/>
    <s v="Satoshi Tanaka"/>
    <x v="7"/>
    <x v="1"/>
    <x v="3"/>
    <x v="1"/>
    <s v="Asian"/>
    <n v="45"/>
    <x v="2"/>
    <x v="167"/>
    <n v="123640"/>
    <x v="2"/>
    <x v="1"/>
    <x v="122"/>
    <s v=""/>
  </r>
  <r>
    <s v="E03243"/>
    <s v="Shiva Menon"/>
    <x v="25"/>
    <x v="1"/>
    <x v="1"/>
    <x v="0"/>
    <s v="Asian"/>
    <n v="38"/>
    <x v="2"/>
    <x v="168"/>
    <n v="74010"/>
    <x v="1"/>
    <x v="0"/>
    <x v="123"/>
    <s v=""/>
  </r>
  <r>
    <s v="E03454"/>
    <s v="Soo Kim"/>
    <x v="12"/>
    <x v="5"/>
    <x v="1"/>
    <x v="1"/>
    <s v="Asian"/>
    <n v="37"/>
    <x v="2"/>
    <x v="169"/>
    <n v="225558"/>
    <x v="9"/>
    <x v="9"/>
    <x v="124"/>
    <s v=""/>
  </r>
  <r>
    <s v="E04525"/>
    <s v="Tenzin Wangchuk"/>
    <x v="21"/>
    <x v="6"/>
    <x v="1"/>
    <x v="1"/>
    <s v="Asian"/>
    <n v="55"/>
    <x v="0"/>
    <x v="170"/>
    <n v="54733"/>
    <x v="2"/>
    <x v="10"/>
    <x v="125"/>
    <s v=""/>
  </r>
  <r>
    <s v="E02826"/>
    <s v="Trang Nguyen"/>
    <x v="4"/>
    <x v="5"/>
    <x v="3"/>
    <x v="1"/>
    <s v="Asian"/>
    <n v="33"/>
    <x v="2"/>
    <x v="171"/>
    <n v="95960"/>
    <x v="5"/>
    <x v="4"/>
    <x v="126"/>
    <s v=""/>
  </r>
  <r>
    <s v="E02687"/>
    <s v="Veer Khanna"/>
    <x v="7"/>
    <x v="6"/>
    <x v="3"/>
    <x v="0"/>
    <s v="Asian"/>
    <n v="34"/>
    <x v="2"/>
    <x v="172"/>
    <n v="118708"/>
    <x v="6"/>
    <x v="0"/>
    <x v="127"/>
    <s v=""/>
  </r>
  <r>
    <s v="E04111"/>
    <s v="Weiwei Chen"/>
    <x v="13"/>
    <x v="2"/>
    <x v="0"/>
    <x v="1"/>
    <s v="Asian"/>
    <n v="51"/>
    <x v="0"/>
    <x v="173"/>
    <n v="64170"/>
    <x v="4"/>
    <x v="2"/>
    <x v="128"/>
    <s v=""/>
  </r>
  <r>
    <s v="E02225"/>
    <s v="Xiaoli Zhang"/>
    <x v="3"/>
    <x v="0"/>
    <x v="1"/>
    <x v="1"/>
    <s v="Asian"/>
    <n v="45"/>
    <x v="2"/>
    <x v="174"/>
    <n v="89659"/>
    <x v="4"/>
    <x v="2"/>
    <x v="129"/>
    <s v=""/>
  </r>
  <r>
    <s v="E03394"/>
    <s v="Yash Joshi"/>
    <x v="7"/>
    <x v="4"/>
    <x v="2"/>
    <x v="1"/>
    <s v="Asian"/>
    <n v="50"/>
    <x v="0"/>
    <x v="175"/>
    <n v="108134"/>
    <x v="5"/>
    <x v="0"/>
    <x v="130"/>
    <s v=""/>
  </r>
  <r>
    <s v="E04429"/>
    <s v="Aarav Patel"/>
    <x v="7"/>
    <x v="3"/>
    <x v="3"/>
    <x v="0"/>
    <s v="Asian"/>
    <n v="50"/>
    <x v="0"/>
    <x v="176"/>
    <n v="117226"/>
    <x v="11"/>
    <x v="0"/>
    <x v="0"/>
    <s v=""/>
  </r>
  <r>
    <s v="E03260"/>
    <s v="Aisha Khan"/>
    <x v="4"/>
    <x v="4"/>
    <x v="2"/>
    <x v="0"/>
    <s v="Asian"/>
    <n v="51"/>
    <x v="0"/>
    <x v="177"/>
    <n v="82300"/>
    <x v="3"/>
    <x v="0"/>
    <x v="1"/>
    <s v=""/>
  </r>
  <r>
    <s v="E04517"/>
    <s v="Akira Tanaka"/>
    <x v="3"/>
    <x v="0"/>
    <x v="2"/>
    <x v="1"/>
    <s v="Asian"/>
    <n v="42"/>
    <x v="2"/>
    <x v="178"/>
    <n v="72903"/>
    <x v="0"/>
    <x v="1"/>
    <x v="2"/>
    <s v=""/>
  </r>
  <r>
    <s v="E03625"/>
    <s v="Ananya Das"/>
    <x v="29"/>
    <x v="0"/>
    <x v="3"/>
    <x v="1"/>
    <s v="Asian"/>
    <n v="48"/>
    <x v="0"/>
    <x v="179"/>
    <n v="65340"/>
    <x v="3"/>
    <x v="0"/>
    <x v="3"/>
    <d v="2018-05-09T00:00:00"/>
  </r>
  <r>
    <s v="E03277"/>
    <s v="Bo Liu"/>
    <x v="12"/>
    <x v="2"/>
    <x v="1"/>
    <x v="0"/>
    <s v="Asian"/>
    <n v="63"/>
    <x v="1"/>
    <x v="180"/>
    <n v="231141"/>
    <x v="9"/>
    <x v="2"/>
    <x v="4"/>
    <s v=""/>
  </r>
  <r>
    <s v="E01967"/>
    <s v="Chamara Perera"/>
    <x v="1"/>
    <x v="3"/>
    <x v="0"/>
    <x v="0"/>
    <s v="Asian"/>
    <n v="37"/>
    <x v="2"/>
    <x v="181"/>
    <n v="160280"/>
    <x v="9"/>
    <x v="3"/>
    <x v="5"/>
    <s v=""/>
  </r>
  <r>
    <s v="E04628"/>
    <s v="Devi Sharma"/>
    <x v="12"/>
    <x v="0"/>
    <x v="3"/>
    <x v="0"/>
    <s v="Asian"/>
    <n v="47"/>
    <x v="0"/>
    <x v="182"/>
    <n v="222941"/>
    <x v="6"/>
    <x v="0"/>
    <x v="6"/>
    <s v=""/>
  </r>
  <r>
    <s v="E04472"/>
    <s v="Fan Wei"/>
    <x v="12"/>
    <x v="3"/>
    <x v="2"/>
    <x v="1"/>
    <s v="Asian"/>
    <n v="52"/>
    <x v="0"/>
    <x v="183"/>
    <n v="187048"/>
    <x v="10"/>
    <x v="2"/>
    <x v="7"/>
    <s v=""/>
  </r>
  <r>
    <s v="E03607"/>
    <s v="Gaurav Verma"/>
    <x v="7"/>
    <x v="1"/>
    <x v="0"/>
    <x v="0"/>
    <s v="Asian"/>
    <n v="49"/>
    <x v="0"/>
    <x v="184"/>
    <n v="109850"/>
    <x v="4"/>
    <x v="0"/>
    <x v="8"/>
    <d v="2020-02-04T00:00:00"/>
  </r>
  <r>
    <s v="E03000"/>
    <s v="Harini Reddy"/>
    <x v="7"/>
    <x v="6"/>
    <x v="1"/>
    <x v="1"/>
    <s v="Asian"/>
    <n v="50"/>
    <x v="0"/>
    <x v="185"/>
    <n v="102033"/>
    <x v="8"/>
    <x v="0"/>
    <x v="9"/>
    <s v=""/>
  </r>
  <r>
    <s v="E02884"/>
    <s v="Hiroshi Yamamoto"/>
    <x v="7"/>
    <x v="1"/>
    <x v="3"/>
    <x v="1"/>
    <s v="Asian"/>
    <n v="55"/>
    <x v="0"/>
    <x v="186"/>
    <n v="108686"/>
    <x v="10"/>
    <x v="1"/>
    <x v="10"/>
    <s v=""/>
  </r>
  <r>
    <s v="E02945"/>
    <s v="Ishaan Kapoor"/>
    <x v="1"/>
    <x v="0"/>
    <x v="2"/>
    <x v="0"/>
    <s v="Asian"/>
    <n v="53"/>
    <x v="0"/>
    <x v="187"/>
    <n v="168510"/>
    <x v="3"/>
    <x v="0"/>
    <x v="11"/>
    <s v=""/>
  </r>
  <r>
    <s v="E04145"/>
    <s v="Jia Li"/>
    <x v="1"/>
    <x v="2"/>
    <x v="3"/>
    <x v="1"/>
    <s v="Asian"/>
    <n v="47"/>
    <x v="0"/>
    <x v="188"/>
    <n v="183156"/>
    <x v="11"/>
    <x v="2"/>
    <x v="12"/>
    <s v=""/>
  </r>
  <r>
    <s v="E03106"/>
    <s v="Kavya Menon"/>
    <x v="12"/>
    <x v="6"/>
    <x v="2"/>
    <x v="1"/>
    <s v="Asian"/>
    <n v="38"/>
    <x v="2"/>
    <x v="189"/>
    <n v="191571"/>
    <x v="3"/>
    <x v="0"/>
    <x v="13"/>
    <s v=""/>
  </r>
  <r>
    <s v="E04128"/>
    <s v="Keisuke Nakamura"/>
    <x v="14"/>
    <x v="0"/>
    <x v="3"/>
    <x v="1"/>
    <s v="Asian"/>
    <n v="37"/>
    <x v="2"/>
    <x v="190"/>
    <n v="124827"/>
    <x v="7"/>
    <x v="1"/>
    <x v="14"/>
    <s v=""/>
  </r>
  <r>
    <s v="E03883"/>
    <s v="Lakshmi Naidu"/>
    <x v="12"/>
    <x v="4"/>
    <x v="0"/>
    <x v="1"/>
    <s v="Asian"/>
    <n v="41"/>
    <x v="2"/>
    <x v="191"/>
    <n v="249270"/>
    <x v="1"/>
    <x v="0"/>
    <x v="15"/>
    <s v=""/>
  </r>
  <r>
    <s v="E02202"/>
    <s v="Lei Chen"/>
    <x v="12"/>
    <x v="6"/>
    <x v="2"/>
    <x v="0"/>
    <s v="Asian"/>
    <n v="64"/>
    <x v="1"/>
    <x v="192"/>
    <n v="252325"/>
    <x v="11"/>
    <x v="2"/>
    <x v="16"/>
    <s v=""/>
  </r>
  <r>
    <s v="E02390"/>
    <s v="Malini Raj"/>
    <x v="22"/>
    <x v="0"/>
    <x v="0"/>
    <x v="1"/>
    <s v="Asian"/>
    <n v="50"/>
    <x v="0"/>
    <x v="193"/>
    <n v="79388"/>
    <x v="0"/>
    <x v="0"/>
    <x v="17"/>
    <d v="2019-08-04T00:00:00"/>
  </r>
  <r>
    <s v="E04212"/>
    <s v="Manoj Singh"/>
    <x v="12"/>
    <x v="0"/>
    <x v="2"/>
    <x v="0"/>
    <s v="Asian"/>
    <n v="63"/>
    <x v="1"/>
    <x v="194"/>
    <n v="254289"/>
    <x v="5"/>
    <x v="0"/>
    <x v="18"/>
    <s v=""/>
  </r>
  <r>
    <s v="E02491"/>
    <s v="Mei Wong"/>
    <x v="24"/>
    <x v="2"/>
    <x v="3"/>
    <x v="1"/>
    <s v="Asian"/>
    <n v="40"/>
    <x v="2"/>
    <x v="195"/>
    <n v="69096"/>
    <x v="9"/>
    <x v="2"/>
    <x v="19"/>
    <s v=""/>
  </r>
  <r>
    <s v="E03698"/>
    <s v="Naveen Kumar"/>
    <x v="31"/>
    <x v="2"/>
    <x v="0"/>
    <x v="0"/>
    <s v="Asian"/>
    <n v="54"/>
    <x v="0"/>
    <x v="196"/>
    <n v="83639"/>
    <x v="2"/>
    <x v="0"/>
    <x v="20"/>
    <s v=""/>
  </r>
  <r>
    <s v="E02969"/>
    <s v="Neha Shah"/>
    <x v="26"/>
    <x v="2"/>
    <x v="1"/>
    <x v="1"/>
    <s v="Asian"/>
    <n v="45"/>
    <x v="2"/>
    <x v="197"/>
    <n v="99169"/>
    <x v="9"/>
    <x v="0"/>
    <x v="21"/>
    <s v=""/>
  </r>
  <r>
    <s v="E03063"/>
    <s v="Peng Zhao"/>
    <x v="17"/>
    <x v="1"/>
    <x v="2"/>
    <x v="0"/>
    <s v="Asian"/>
    <n v="35"/>
    <x v="2"/>
    <x v="198"/>
    <n v="59646"/>
    <x v="2"/>
    <x v="2"/>
    <x v="22"/>
    <s v=""/>
  </r>
  <r>
    <s v="E04172"/>
    <s v="Priya Mishra"/>
    <x v="32"/>
    <x v="0"/>
    <x v="0"/>
    <x v="1"/>
    <s v="Asian"/>
    <n v="55"/>
    <x v="0"/>
    <x v="199"/>
    <n v="73248"/>
    <x v="12"/>
    <x v="0"/>
    <x v="23"/>
    <s v=""/>
  </r>
  <r>
    <s v="E03857"/>
    <s v="Rajesh Patel"/>
    <x v="21"/>
    <x v="4"/>
    <x v="2"/>
    <x v="1"/>
    <s v="Asian"/>
    <n v="65"/>
    <x v="1"/>
    <x v="200"/>
    <n v="50341"/>
    <x v="12"/>
    <x v="0"/>
    <x v="24"/>
    <s v=""/>
  </r>
  <r>
    <s v="E04651"/>
    <s v="Rina Kim"/>
    <x v="17"/>
    <x v="1"/>
    <x v="3"/>
    <x v="0"/>
    <s v="Asian"/>
    <n v="37"/>
    <x v="2"/>
    <x v="201"/>
    <n v="56037"/>
    <x v="4"/>
    <x v="2"/>
    <x v="25"/>
    <s v=""/>
  </r>
  <r>
    <s v="E04117"/>
    <s v="Santosh Kumar"/>
    <x v="16"/>
    <x v="1"/>
    <x v="3"/>
    <x v="1"/>
    <s v="Asian"/>
    <n v="60"/>
    <x v="1"/>
    <x v="202"/>
    <n v="51877"/>
    <x v="2"/>
    <x v="0"/>
    <x v="26"/>
    <s v=""/>
  </r>
  <r>
    <s v="E04955"/>
    <s v="Shu Zhang"/>
    <x v="13"/>
    <x v="2"/>
    <x v="3"/>
    <x v="1"/>
    <s v="Asian"/>
    <n v="57"/>
    <x v="0"/>
    <x v="203"/>
    <n v="74854"/>
    <x v="7"/>
    <x v="2"/>
    <x v="27"/>
    <s v=""/>
  </r>
  <r>
    <s v="E04377"/>
    <s v="Simran Chopra"/>
    <x v="1"/>
    <x v="3"/>
    <x v="2"/>
    <x v="0"/>
    <s v="Asian"/>
    <n v="42"/>
    <x v="2"/>
    <x v="204"/>
    <n v="152214"/>
    <x v="2"/>
    <x v="0"/>
    <x v="28"/>
    <s v=""/>
  </r>
  <r>
    <s v="E03530"/>
    <s v="Subhash Chandra"/>
    <x v="4"/>
    <x v="6"/>
    <x v="2"/>
    <x v="1"/>
    <s v="Asian"/>
    <n v="43"/>
    <x v="2"/>
    <x v="205"/>
    <n v="92940"/>
    <x v="1"/>
    <x v="0"/>
    <x v="29"/>
    <s v=""/>
  </r>
  <r>
    <s v="E03928"/>
    <s v="Suraj Sharma"/>
    <x v="16"/>
    <x v="6"/>
    <x v="0"/>
    <x v="0"/>
    <s v="Asian"/>
    <n v="43"/>
    <x v="2"/>
    <x v="206"/>
    <n v="58875"/>
    <x v="8"/>
    <x v="0"/>
    <x v="30"/>
    <s v=""/>
  </r>
  <r>
    <s v="E02976"/>
    <s v="Takumi Sato"/>
    <x v="10"/>
    <x v="4"/>
    <x v="3"/>
    <x v="1"/>
    <s v="Asian"/>
    <n v="35"/>
    <x v="2"/>
    <x v="207"/>
    <n v="155905"/>
    <x v="12"/>
    <x v="1"/>
    <x v="31"/>
    <s v=""/>
  </r>
  <r>
    <s v="E04929"/>
    <s v="Usha Gupta"/>
    <x v="12"/>
    <x v="1"/>
    <x v="2"/>
    <x v="1"/>
    <s v="Asian"/>
    <n v="36"/>
    <x v="2"/>
    <x v="208"/>
    <n v="218530"/>
    <x v="12"/>
    <x v="0"/>
    <x v="32"/>
    <s v=""/>
  </r>
  <r>
    <s v="E04553"/>
    <s v="Vishal Singh"/>
    <x v="12"/>
    <x v="1"/>
    <x v="3"/>
    <x v="0"/>
    <s v="Asian"/>
    <n v="44"/>
    <x v="2"/>
    <x v="209"/>
    <n v="207172"/>
    <x v="5"/>
    <x v="0"/>
    <x v="23"/>
    <s v=""/>
  </r>
  <r>
    <s v="E03134"/>
    <s v="Xia Chen"/>
    <x v="12"/>
    <x v="3"/>
    <x v="0"/>
    <x v="0"/>
    <s v="Asian"/>
    <n v="48"/>
    <x v="0"/>
    <x v="210"/>
    <n v="197367"/>
    <x v="2"/>
    <x v="2"/>
    <x v="33"/>
    <s v=""/>
  </r>
  <r>
    <s v="E03616"/>
    <s v="Yasmin Khan"/>
    <x v="16"/>
    <x v="5"/>
    <x v="0"/>
    <x v="0"/>
    <s v="Asian"/>
    <n v="55"/>
    <x v="0"/>
    <x v="211"/>
    <n v="74552"/>
    <x v="4"/>
    <x v="0"/>
    <x v="34"/>
    <s v=""/>
  </r>
  <r>
    <s v="E04773"/>
    <s v="Yuuki Tanaka"/>
    <x v="12"/>
    <x v="6"/>
    <x v="1"/>
    <x v="1"/>
    <s v="Asian"/>
    <n v="56"/>
    <x v="0"/>
    <x v="211"/>
    <n v="190815"/>
    <x v="7"/>
    <x v="1"/>
    <x v="35"/>
    <s v=""/>
  </r>
  <r>
    <s v="E03654"/>
    <s v="Zara Ali"/>
    <x v="27"/>
    <x v="2"/>
    <x v="3"/>
    <x v="1"/>
    <s v="Asian"/>
    <n v="48"/>
    <x v="0"/>
    <x v="212"/>
    <n v="91679"/>
    <x v="10"/>
    <x v="0"/>
    <x v="36"/>
    <s v=""/>
  </r>
  <r>
    <s v="E03780"/>
    <s v="Abhay Joshi"/>
    <x v="11"/>
    <x v="3"/>
    <x v="3"/>
    <x v="0"/>
    <s v="Asian"/>
    <n v="58"/>
    <x v="0"/>
    <x v="213"/>
    <n v="41728"/>
    <x v="0"/>
    <x v="0"/>
    <x v="37"/>
    <s v=""/>
  </r>
  <r>
    <s v="E03589"/>
    <s v="Ai Fujimoto"/>
    <x v="2"/>
    <x v="2"/>
    <x v="3"/>
    <x v="0"/>
    <s v="Asian"/>
    <n v="42"/>
    <x v="2"/>
    <x v="214"/>
    <n v="64677"/>
    <x v="8"/>
    <x v="1"/>
    <x v="38"/>
    <s v=""/>
  </r>
  <r>
    <s v="E04009"/>
    <s v="Anushka Singh"/>
    <x v="1"/>
    <x v="4"/>
    <x v="1"/>
    <x v="0"/>
    <s v="Asian"/>
    <n v="49"/>
    <x v="0"/>
    <x v="215"/>
    <n v="153961"/>
    <x v="4"/>
    <x v="0"/>
    <x v="39"/>
    <s v=""/>
  </r>
  <r>
    <s v="E02134"/>
    <s v="Bin Zhang"/>
    <x v="20"/>
    <x v="2"/>
    <x v="2"/>
    <x v="1"/>
    <s v="Asian"/>
    <n v="33"/>
    <x v="2"/>
    <x v="216"/>
    <n v="96366"/>
    <x v="4"/>
    <x v="2"/>
    <x v="40"/>
    <s v=""/>
  </r>
  <r>
    <s v="E04497"/>
    <s v="Chandrika Rao"/>
    <x v="21"/>
    <x v="4"/>
    <x v="1"/>
    <x v="1"/>
    <s v="Asian"/>
    <n v="39"/>
    <x v="2"/>
    <x v="217"/>
    <n v="40897"/>
    <x v="1"/>
    <x v="0"/>
    <x v="41"/>
    <s v=""/>
  </r>
  <r>
    <s v="E03874"/>
    <s v="Dai Li"/>
    <x v="7"/>
    <x v="1"/>
    <x v="3"/>
    <x v="0"/>
    <s v="Asian"/>
    <n v="52"/>
    <x v="0"/>
    <x v="218"/>
    <n v="117062"/>
    <x v="0"/>
    <x v="2"/>
    <x v="42"/>
    <s v=""/>
  </r>
  <r>
    <s v="E03635"/>
    <s v="Deepak Verma"/>
    <x v="1"/>
    <x v="0"/>
    <x v="3"/>
    <x v="0"/>
    <s v="Asian"/>
    <n v="45"/>
    <x v="2"/>
    <x v="219"/>
    <n v="183161"/>
    <x v="7"/>
    <x v="0"/>
    <x v="43"/>
    <s v=""/>
  </r>
  <r>
    <s v="E03909"/>
    <s v="Elena Chen"/>
    <x v="4"/>
    <x v="4"/>
    <x v="1"/>
    <x v="0"/>
    <s v="Asian"/>
    <n v="40"/>
    <x v="2"/>
    <x v="220"/>
    <n v="73779"/>
    <x v="10"/>
    <x v="2"/>
    <x v="44"/>
    <d v="2019-05-09T00:00:00"/>
  </r>
  <r>
    <s v="E04633"/>
    <s v="Farhan Khan"/>
    <x v="12"/>
    <x v="4"/>
    <x v="1"/>
    <x v="0"/>
    <s v="Asian"/>
    <n v="41"/>
    <x v="2"/>
    <x v="221"/>
    <n v="257194"/>
    <x v="12"/>
    <x v="0"/>
    <x v="45"/>
    <s v=""/>
  </r>
  <r>
    <s v="E04402"/>
    <s v="Gita Mehta"/>
    <x v="26"/>
    <x v="2"/>
    <x v="2"/>
    <x v="1"/>
    <s v="Asian"/>
    <n v="36"/>
    <x v="2"/>
    <x v="222"/>
    <n v="97500"/>
    <x v="10"/>
    <x v="0"/>
    <x v="46"/>
    <s v=""/>
  </r>
  <r>
    <s v="E02586"/>
    <s v="Han Li"/>
    <x v="27"/>
    <x v="2"/>
    <x v="3"/>
    <x v="1"/>
    <s v="Asian"/>
    <n v="36"/>
    <x v="2"/>
    <x v="223"/>
    <n v="88730"/>
    <x v="2"/>
    <x v="2"/>
    <x v="47"/>
    <s v=""/>
  </r>
  <r>
    <s v="E03471"/>
    <s v="Irfan Malik"/>
    <x v="0"/>
    <x v="0"/>
    <x v="1"/>
    <x v="1"/>
    <s v="Asian"/>
    <n v="32"/>
    <x v="2"/>
    <x v="224"/>
    <n v="99202"/>
    <x v="7"/>
    <x v="0"/>
    <x v="48"/>
    <s v=""/>
  </r>
  <r>
    <s v="E02384"/>
    <s v="Janani Ramesh"/>
    <x v="12"/>
    <x v="3"/>
    <x v="3"/>
    <x v="0"/>
    <s v="Asian"/>
    <n v="31"/>
    <x v="2"/>
    <x v="225"/>
    <n v="230025"/>
    <x v="5"/>
    <x v="0"/>
    <x v="49"/>
    <s v=""/>
  </r>
  <r>
    <s v="E04758"/>
    <s v="Jiawei Wang"/>
    <x v="7"/>
    <x v="2"/>
    <x v="2"/>
    <x v="0"/>
    <s v="Asian"/>
    <n v="45"/>
    <x v="2"/>
    <x v="226"/>
    <n v="101288"/>
    <x v="6"/>
    <x v="2"/>
    <x v="50"/>
    <s v=""/>
  </r>
  <r>
    <s v="E02573"/>
    <s v="Kala Krishnan"/>
    <x v="10"/>
    <x v="4"/>
    <x v="2"/>
    <x v="0"/>
    <s v="Asian"/>
    <n v="63"/>
    <x v="1"/>
    <x v="227"/>
    <n v="148321"/>
    <x v="10"/>
    <x v="0"/>
    <x v="51"/>
    <s v=""/>
  </r>
  <r>
    <s v="E03089"/>
    <s v="Karan Kapoor"/>
    <x v="10"/>
    <x v="1"/>
    <x v="2"/>
    <x v="1"/>
    <s v="Asian"/>
    <n v="34"/>
    <x v="2"/>
    <x v="228"/>
    <n v="154941"/>
    <x v="9"/>
    <x v="0"/>
    <x v="52"/>
    <s v=""/>
  </r>
  <r>
    <s v="E02526"/>
    <s v="Lina Nguyen"/>
    <x v="22"/>
    <x v="0"/>
    <x v="0"/>
    <x v="1"/>
    <s v="Asian"/>
    <n v="45"/>
    <x v="2"/>
    <x v="229"/>
    <n v="60017"/>
    <x v="8"/>
    <x v="4"/>
    <x v="53"/>
    <s v=""/>
  </r>
  <r>
    <s v="E03536"/>
    <s v="Manish Patel"/>
    <x v="12"/>
    <x v="2"/>
    <x v="0"/>
    <x v="0"/>
    <s v="Asian"/>
    <n v="35"/>
    <x v="2"/>
    <x v="230"/>
    <n v="234723"/>
    <x v="0"/>
    <x v="0"/>
    <x v="54"/>
    <s v=""/>
  </r>
  <r>
    <s v="E03159"/>
    <s v="Mei Ling"/>
    <x v="10"/>
    <x v="1"/>
    <x v="3"/>
    <x v="1"/>
    <s v="Asian"/>
    <n v="30"/>
    <x v="3"/>
    <x v="231"/>
    <n v="127972"/>
    <x v="6"/>
    <x v="2"/>
    <x v="55"/>
    <s v=""/>
  </r>
  <r>
    <s v="E04452"/>
    <s v="Nandini Desai"/>
    <x v="1"/>
    <x v="1"/>
    <x v="1"/>
    <x v="0"/>
    <s v="Asian"/>
    <n v="31"/>
    <x v="2"/>
    <x v="232"/>
    <n v="191026"/>
    <x v="1"/>
    <x v="0"/>
    <x v="56"/>
    <s v=""/>
  </r>
  <r>
    <s v="E04391"/>
    <s v="Prakash Reddy"/>
    <x v="17"/>
    <x v="1"/>
    <x v="3"/>
    <x v="1"/>
    <s v="Asian"/>
    <n v="47"/>
    <x v="0"/>
    <x v="233"/>
    <n v="63880"/>
    <x v="2"/>
    <x v="0"/>
    <x v="57"/>
    <s v=""/>
  </r>
  <r>
    <s v="E04570"/>
    <s v="Qing Chen"/>
    <x v="12"/>
    <x v="2"/>
    <x v="0"/>
    <x v="0"/>
    <s v="Asian"/>
    <n v="31"/>
    <x v="2"/>
    <x v="234"/>
    <n v="215388"/>
    <x v="9"/>
    <x v="2"/>
    <x v="58"/>
    <s v=""/>
  </r>
  <r>
    <s v="E03268"/>
    <s v="Ravi Kumar"/>
    <x v="7"/>
    <x v="3"/>
    <x v="1"/>
    <x v="0"/>
    <s v="Asian"/>
    <n v="48"/>
    <x v="0"/>
    <x v="235"/>
    <n v="110565"/>
    <x v="11"/>
    <x v="0"/>
    <x v="59"/>
    <s v=""/>
  </r>
  <r>
    <s v="E03236"/>
    <s v="Sakura Tanaka"/>
    <x v="7"/>
    <x v="6"/>
    <x v="3"/>
    <x v="0"/>
    <s v="Asian"/>
    <n v="63"/>
    <x v="1"/>
    <x v="236"/>
    <n v="103724"/>
    <x v="6"/>
    <x v="1"/>
    <x v="60"/>
    <s v=""/>
  </r>
  <r>
    <s v="E03710"/>
    <s v="Sanjay Verma"/>
    <x v="12"/>
    <x v="3"/>
    <x v="1"/>
    <x v="0"/>
    <s v="Asian"/>
    <n v="31"/>
    <x v="2"/>
    <x v="237"/>
    <n v="250953"/>
    <x v="0"/>
    <x v="0"/>
    <x v="61"/>
    <s v=""/>
  </r>
  <r>
    <s v="E02195"/>
    <s v="Seema Sharma"/>
    <x v="12"/>
    <x v="4"/>
    <x v="1"/>
    <x v="0"/>
    <s v="Asian"/>
    <n v="45"/>
    <x v="2"/>
    <x v="238"/>
    <n v="202680"/>
    <x v="6"/>
    <x v="0"/>
    <x v="62"/>
    <d v="2022-08-17T00:00:00"/>
  </r>
  <r>
    <s v="E02804"/>
    <s v="Siti Nurul"/>
    <x v="1"/>
    <x v="6"/>
    <x v="0"/>
    <x v="1"/>
    <s v="Asian"/>
    <n v="36"/>
    <x v="2"/>
    <x v="239"/>
    <n v="178700"/>
    <x v="9"/>
    <x v="5"/>
    <x v="63"/>
    <s v=""/>
  </r>
  <r>
    <s v="E02429"/>
    <s v="Sunil Gupta"/>
    <x v="4"/>
    <x v="5"/>
    <x v="3"/>
    <x v="1"/>
    <s v="Asian"/>
    <n v="33"/>
    <x v="2"/>
    <x v="240"/>
    <n v="94876"/>
    <x v="8"/>
    <x v="0"/>
    <x v="64"/>
    <s v=""/>
  </r>
  <r>
    <s v="E04816"/>
    <s v="Tashi Wangchuk"/>
    <x v="21"/>
    <x v="5"/>
    <x v="1"/>
    <x v="0"/>
    <s v="Asian"/>
    <n v="37"/>
    <x v="2"/>
    <x v="241"/>
    <n v="45369"/>
    <x v="1"/>
    <x v="6"/>
    <x v="65"/>
    <s v=""/>
  </r>
  <r>
    <s v="E03801"/>
    <s v="Trinh Nguyen"/>
    <x v="17"/>
    <x v="1"/>
    <x v="2"/>
    <x v="1"/>
    <s v="Asian"/>
    <n v="37"/>
    <x v="2"/>
    <x v="242"/>
    <n v="64204"/>
    <x v="1"/>
    <x v="4"/>
    <x v="66"/>
    <d v="2021-04-20T00:00:00"/>
  </r>
  <r>
    <s v="E02371"/>
    <s v="Varun Khanna"/>
    <x v="9"/>
    <x v="0"/>
    <x v="0"/>
    <x v="1"/>
    <s v="Asian"/>
    <n v="30"/>
    <x v="3"/>
    <x v="243"/>
    <n v="77442"/>
    <x v="0"/>
    <x v="0"/>
    <x v="67"/>
    <s v=""/>
  </r>
  <r>
    <s v="E04645"/>
    <s v="Wei Yang"/>
    <x v="4"/>
    <x v="6"/>
    <x v="2"/>
    <x v="0"/>
    <s v="Asian"/>
    <n v="40"/>
    <x v="2"/>
    <x v="244"/>
    <n v="89984"/>
    <x v="7"/>
    <x v="2"/>
    <x v="68"/>
    <s v=""/>
  </r>
  <r>
    <s v="E02952"/>
    <s v="Xian Wu"/>
    <x v="2"/>
    <x v="2"/>
    <x v="0"/>
    <x v="0"/>
    <s v="Asian"/>
    <n v="37"/>
    <x v="2"/>
    <x v="245"/>
    <n v="80055"/>
    <x v="3"/>
    <x v="2"/>
    <x v="69"/>
    <s v=""/>
  </r>
  <r>
    <s v="E04977"/>
    <s v="Yuki Takahashi"/>
    <x v="12"/>
    <x v="4"/>
    <x v="1"/>
    <x v="1"/>
    <s v="Asian"/>
    <n v="45"/>
    <x v="2"/>
    <x v="246"/>
    <n v="211637"/>
    <x v="1"/>
    <x v="1"/>
    <x v="70"/>
    <s v=""/>
  </r>
  <r>
    <s v="E03643"/>
    <s v="Zainab Khan"/>
    <x v="7"/>
    <x v="4"/>
    <x v="0"/>
    <x v="1"/>
    <s v="Asian"/>
    <n v="30"/>
    <x v="3"/>
    <x v="247"/>
    <n v="120341"/>
    <x v="9"/>
    <x v="0"/>
    <x v="71"/>
    <s v=""/>
  </r>
  <r>
    <s v="E03183"/>
    <s v="Aarush Mehta"/>
    <x v="26"/>
    <x v="2"/>
    <x v="0"/>
    <x v="1"/>
    <s v="Asian"/>
    <n v="36"/>
    <x v="2"/>
    <x v="248"/>
    <n v="75862"/>
    <x v="3"/>
    <x v="0"/>
    <x v="72"/>
    <s v=""/>
  </r>
  <r>
    <s v="E03794"/>
    <s v="Aileen Lim"/>
    <x v="27"/>
    <x v="2"/>
    <x v="3"/>
    <x v="0"/>
    <s v="Asian"/>
    <n v="35"/>
    <x v="2"/>
    <x v="249"/>
    <n v="73899"/>
    <x v="9"/>
    <x v="7"/>
    <x v="73"/>
    <s v=""/>
  </r>
  <r>
    <s v="E04726"/>
    <s v="Akshay Deshmukh"/>
    <x v="4"/>
    <x v="6"/>
    <x v="3"/>
    <x v="0"/>
    <s v="Asian"/>
    <n v="54"/>
    <x v="0"/>
    <x v="250"/>
    <n v="93668"/>
    <x v="0"/>
    <x v="0"/>
    <x v="74"/>
    <s v=""/>
  </r>
  <r>
    <s v="E03662"/>
    <s v="Anjali Patel"/>
    <x v="15"/>
    <x v="2"/>
    <x v="2"/>
    <x v="1"/>
    <s v="Asian"/>
    <n v="34"/>
    <x v="2"/>
    <x v="251"/>
    <n v="44614"/>
    <x v="3"/>
    <x v="0"/>
    <x v="75"/>
    <s v=""/>
  </r>
  <r>
    <s v="E03831"/>
    <s v="Bai Xiu"/>
    <x v="21"/>
    <x v="6"/>
    <x v="2"/>
    <x v="0"/>
    <s v="Asian"/>
    <n v="29"/>
    <x v="3"/>
    <x v="252"/>
    <n v="58703"/>
    <x v="11"/>
    <x v="2"/>
    <x v="76"/>
    <s v=""/>
  </r>
  <r>
    <s v="E04005"/>
    <s v="Chandra Singh"/>
    <x v="7"/>
    <x v="5"/>
    <x v="0"/>
    <x v="1"/>
    <s v="Asian"/>
    <n v="37"/>
    <x v="2"/>
    <x v="253"/>
    <n v="124928"/>
    <x v="12"/>
    <x v="0"/>
    <x v="77"/>
    <s v=""/>
  </r>
  <r>
    <s v="E04926"/>
    <s v="Dan Li"/>
    <x v="9"/>
    <x v="0"/>
    <x v="0"/>
    <x v="1"/>
    <s v="Asian"/>
    <n v="40"/>
    <x v="2"/>
    <x v="254"/>
    <n v="109680"/>
    <x v="9"/>
    <x v="2"/>
    <x v="78"/>
    <s v=""/>
  </r>
  <r>
    <s v="E03146"/>
    <s v="Diya Choudhury"/>
    <x v="17"/>
    <x v="1"/>
    <x v="3"/>
    <x v="0"/>
    <s v="Asian"/>
    <n v="30"/>
    <x v="3"/>
    <x v="255"/>
    <n v="59100"/>
    <x v="6"/>
    <x v="0"/>
    <x v="36"/>
    <s v=""/>
  </r>
  <r>
    <s v="E04884"/>
    <s v="Eiji Tanaka"/>
    <x v="1"/>
    <x v="3"/>
    <x v="1"/>
    <x v="1"/>
    <s v="Asian"/>
    <n v="57"/>
    <x v="0"/>
    <x v="256"/>
    <n v="176324"/>
    <x v="5"/>
    <x v="2"/>
    <x v="79"/>
    <s v=""/>
  </r>
  <r>
    <s v="E03861"/>
    <s v="Fahim Rahman"/>
    <x v="13"/>
    <x v="2"/>
    <x v="0"/>
    <x v="0"/>
    <s v="Asian"/>
    <n v="55"/>
    <x v="0"/>
    <x v="257"/>
    <n v="87851"/>
    <x v="9"/>
    <x v="8"/>
    <x v="80"/>
    <s v=""/>
  </r>
  <r>
    <s v="E03417"/>
    <s v="Geeta Sharma"/>
    <x v="12"/>
    <x v="2"/>
    <x v="3"/>
    <x v="1"/>
    <s v="Asian"/>
    <n v="57"/>
    <x v="0"/>
    <x v="258"/>
    <n v="246589"/>
    <x v="5"/>
    <x v="0"/>
    <x v="30"/>
    <d v="2017-03-26T00:00:00"/>
  </r>
  <r>
    <s v="E04199"/>
    <s v="Hanako Sato"/>
    <x v="12"/>
    <x v="1"/>
    <x v="3"/>
    <x v="0"/>
    <s v="Asian"/>
    <n v="47"/>
    <x v="0"/>
    <x v="259"/>
    <n v="253249"/>
    <x v="12"/>
    <x v="1"/>
    <x v="81"/>
    <s v=""/>
  </r>
  <r>
    <s v="E04136"/>
    <s v="Imran Khan"/>
    <x v="16"/>
    <x v="5"/>
    <x v="2"/>
    <x v="1"/>
    <s v="Asian"/>
    <n v="45"/>
    <x v="2"/>
    <x v="260"/>
    <n v="71454"/>
    <x v="0"/>
    <x v="0"/>
    <x v="82"/>
    <s v=""/>
  </r>
  <r>
    <s v="E04869"/>
    <s v="Jiayi Chen"/>
    <x v="21"/>
    <x v="1"/>
    <x v="1"/>
    <x v="0"/>
    <s v="Asian"/>
    <n v="40"/>
    <x v="2"/>
    <x v="261"/>
    <n v="50733"/>
    <x v="4"/>
    <x v="2"/>
    <x v="83"/>
    <s v=""/>
  </r>
  <r>
    <s v="E03026"/>
    <s v="Kalaivani Raj"/>
    <x v="7"/>
    <x v="3"/>
    <x v="3"/>
    <x v="1"/>
    <s v="Asian"/>
    <n v="32"/>
    <x v="2"/>
    <x v="262"/>
    <n v="101870"/>
    <x v="9"/>
    <x v="0"/>
    <x v="84"/>
    <s v=""/>
  </r>
  <r>
    <s v="E03082"/>
    <s v="Kunal Kapoor"/>
    <x v="31"/>
    <x v="2"/>
    <x v="2"/>
    <x v="0"/>
    <s v="Asian"/>
    <n v="43"/>
    <x v="2"/>
    <x v="263"/>
    <n v="86417"/>
    <x v="8"/>
    <x v="0"/>
    <x v="85"/>
    <s v=""/>
  </r>
  <r>
    <s v="E04507"/>
    <s v="Leela Nair"/>
    <x v="17"/>
    <x v="1"/>
    <x v="1"/>
    <x v="0"/>
    <s v="Asian"/>
    <n v="57"/>
    <x v="0"/>
    <x v="264"/>
    <n v="50994"/>
    <x v="0"/>
    <x v="4"/>
    <x v="86"/>
    <s v=""/>
  </r>
  <r>
    <s v="E02719"/>
    <s v="Liang Wang"/>
    <x v="10"/>
    <x v="4"/>
    <x v="2"/>
    <x v="0"/>
    <s v="Asian"/>
    <n v="32"/>
    <x v="2"/>
    <x v="265"/>
    <n v="143970"/>
    <x v="1"/>
    <x v="0"/>
    <x v="87"/>
    <d v="2017-12-09T00:00:00"/>
  </r>
  <r>
    <s v="E04603"/>
    <s v="Madhav Reddy"/>
    <x v="29"/>
    <x v="0"/>
    <x v="3"/>
    <x v="1"/>
    <s v="Asian"/>
    <n v="35"/>
    <x v="2"/>
    <x v="266"/>
    <n v="60132"/>
    <x v="10"/>
    <x v="2"/>
    <x v="88"/>
    <s v=""/>
  </r>
  <r>
    <s v="E03516"/>
    <s v="Mika Yamamoto"/>
    <x v="29"/>
    <x v="0"/>
    <x v="3"/>
    <x v="1"/>
    <s v="Asian"/>
    <n v="51"/>
    <x v="0"/>
    <x v="267"/>
    <n v="87036"/>
    <x v="2"/>
    <x v="0"/>
    <x v="23"/>
    <s v=""/>
  </r>
  <r>
    <s v="E03222"/>
    <s v="Naina Verma"/>
    <x v="4"/>
    <x v="4"/>
    <x v="2"/>
    <x v="0"/>
    <s v="Asian"/>
    <n v="63"/>
    <x v="1"/>
    <x v="268"/>
    <n v="77629"/>
    <x v="3"/>
    <x v="0"/>
    <x v="89"/>
    <s v=""/>
  </r>
  <r>
    <s v="E03207"/>
    <s v="Nikhil Sharma"/>
    <x v="24"/>
    <x v="2"/>
    <x v="3"/>
    <x v="0"/>
    <s v="Asian"/>
    <n v="31"/>
    <x v="2"/>
    <x v="269"/>
    <n v="95963"/>
    <x v="6"/>
    <x v="7"/>
    <x v="90"/>
    <s v=""/>
  </r>
  <r>
    <s v="E04747"/>
    <s v="Ong Su"/>
    <x v="1"/>
    <x v="4"/>
    <x v="2"/>
    <x v="1"/>
    <s v="Asian"/>
    <n v="35"/>
    <x v="2"/>
    <x v="270"/>
    <n v="171426"/>
    <x v="9"/>
    <x v="0"/>
    <x v="29"/>
    <d v="2017-09-22T00:00:00"/>
  </r>
  <r>
    <s v="E03679"/>
    <s v="Pooja Patel"/>
    <x v="12"/>
    <x v="3"/>
    <x v="1"/>
    <x v="1"/>
    <s v="Asian"/>
    <n v="61"/>
    <x v="1"/>
    <x v="271"/>
    <n v="196951"/>
    <x v="11"/>
    <x v="2"/>
    <x v="91"/>
    <s v=""/>
  </r>
  <r>
    <s v="E03230"/>
    <s v="Qiu Lei"/>
    <x v="10"/>
    <x v="2"/>
    <x v="2"/>
    <x v="1"/>
    <s v="Asian"/>
    <n v="39"/>
    <x v="2"/>
    <x v="272"/>
    <n v="135325"/>
    <x v="7"/>
    <x v="0"/>
    <x v="92"/>
    <s v=""/>
  </r>
  <r>
    <s v="E04679"/>
    <s v="Rahul Kapoor"/>
    <x v="10"/>
    <x v="3"/>
    <x v="2"/>
    <x v="1"/>
    <s v="Asian"/>
    <n v="32"/>
    <x v="2"/>
    <x v="273"/>
    <n v="154956"/>
    <x v="4"/>
    <x v="0"/>
    <x v="93"/>
    <s v=""/>
  </r>
  <r>
    <s v="E04416"/>
    <s v="Reshma Khan"/>
    <x v="21"/>
    <x v="6"/>
    <x v="1"/>
    <x v="0"/>
    <s v="Asian"/>
    <n v="28"/>
    <x v="3"/>
    <x v="274"/>
    <n v="52069"/>
    <x v="12"/>
    <x v="1"/>
    <x v="94"/>
    <s v=""/>
  </r>
  <r>
    <s v="E02120"/>
    <s v="Satoshi Takahashi"/>
    <x v="32"/>
    <x v="0"/>
    <x v="0"/>
    <x v="1"/>
    <s v="Asian"/>
    <n v="30"/>
    <x v="3"/>
    <x v="275"/>
    <n v="86858"/>
    <x v="5"/>
    <x v="0"/>
    <x v="95"/>
    <d v="2017-10-08T00:00:00"/>
  </r>
  <r>
    <s v="E04479"/>
    <s v="Shivani Gupta"/>
    <x v="6"/>
    <x v="3"/>
    <x v="3"/>
    <x v="0"/>
    <s v="Asian"/>
    <n v="30"/>
    <x v="3"/>
    <x v="276"/>
    <n v="86317"/>
    <x v="11"/>
    <x v="0"/>
    <x v="96"/>
    <d v="2017-07-16T00:00:00"/>
  </r>
  <r>
    <s v="E03935"/>
    <s v="Surya Menon"/>
    <x v="1"/>
    <x v="5"/>
    <x v="1"/>
    <x v="0"/>
    <s v="Asian"/>
    <n v="60"/>
    <x v="1"/>
    <x v="277"/>
    <n v="158898"/>
    <x v="1"/>
    <x v="2"/>
    <x v="68"/>
    <s v=""/>
  </r>
  <r>
    <s v="E03752"/>
    <s v="Tian Wu"/>
    <x v="18"/>
    <x v="2"/>
    <x v="0"/>
    <x v="0"/>
    <s v="Asian"/>
    <n v="28"/>
    <x v="3"/>
    <x v="278"/>
    <n v="54775"/>
    <x v="9"/>
    <x v="0"/>
    <x v="46"/>
    <s v=""/>
  </r>
  <r>
    <s v="E03891"/>
    <s v="Umesh Singh"/>
    <x v="1"/>
    <x v="6"/>
    <x v="3"/>
    <x v="1"/>
    <s v="Asian"/>
    <n v="29"/>
    <x v="3"/>
    <x v="279"/>
    <n v="197649"/>
    <x v="9"/>
    <x v="0"/>
    <x v="97"/>
    <s v=""/>
  </r>
  <r>
    <s v="E04096"/>
    <s v="Vani Krishnan"/>
    <x v="20"/>
    <x v="2"/>
    <x v="0"/>
    <x v="0"/>
    <s v="Asian"/>
    <n v="37"/>
    <x v="2"/>
    <x v="280"/>
    <n v="96331"/>
    <x v="2"/>
    <x v="2"/>
    <x v="98"/>
    <s v=""/>
  </r>
  <r>
    <s v="E03501"/>
    <s v="Wei Li"/>
    <x v="4"/>
    <x v="4"/>
    <x v="3"/>
    <x v="1"/>
    <s v="Asian"/>
    <n v="47"/>
    <x v="0"/>
    <x v="281"/>
    <n v="70996"/>
    <x v="0"/>
    <x v="2"/>
    <x v="99"/>
    <s v=""/>
  </r>
  <r>
    <s v="E02346"/>
    <s v="Xiu Ying"/>
    <x v="17"/>
    <x v="1"/>
    <x v="2"/>
    <x v="0"/>
    <s v="Asian"/>
    <n v="31"/>
    <x v="2"/>
    <x v="282"/>
    <n v="55854"/>
    <x v="0"/>
    <x v="1"/>
    <x v="100"/>
    <s v=""/>
  </r>
  <r>
    <s v="E04283"/>
    <s v="Yukihiro Sato"/>
    <x v="12"/>
    <x v="4"/>
    <x v="1"/>
    <x v="0"/>
    <s v="Asian"/>
    <n v="57"/>
    <x v="0"/>
    <x v="283"/>
    <n v="183190"/>
    <x v="2"/>
    <x v="0"/>
    <x v="101"/>
    <s v=""/>
  </r>
  <r>
    <s v="E04945"/>
    <s v="Zoya Malik"/>
    <x v="1"/>
    <x v="6"/>
    <x v="3"/>
    <x v="0"/>
    <s v="Asian"/>
    <n v="35"/>
    <x v="2"/>
    <x v="284"/>
    <n v="181356"/>
    <x v="10"/>
    <x v="0"/>
    <x v="72"/>
    <s v=""/>
  </r>
  <r>
    <s v="E02188"/>
    <s v="Aditya Joshi"/>
    <x v="10"/>
    <x v="3"/>
    <x v="0"/>
    <x v="1"/>
    <s v="Asian"/>
    <n v="52"/>
    <x v="0"/>
    <x v="285"/>
    <n v="140042"/>
    <x v="3"/>
    <x v="1"/>
    <x v="102"/>
    <s v=""/>
  </r>
  <r>
    <s v="E02742"/>
    <s v="Akemi Nakamura"/>
    <x v="11"/>
    <x v="3"/>
    <x v="3"/>
    <x v="1"/>
    <s v="Asian"/>
    <n v="53"/>
    <x v="0"/>
    <x v="286"/>
    <n v="46727"/>
    <x v="4"/>
    <x v="0"/>
    <x v="39"/>
    <d v="2018-05-31T00:00:00"/>
  </r>
  <r>
    <s v="E03019"/>
    <s v="Anisha Sharma"/>
    <x v="16"/>
    <x v="5"/>
    <x v="1"/>
    <x v="0"/>
    <s v="Asian"/>
    <n v="52"/>
    <x v="0"/>
    <x v="287"/>
    <n v="74449"/>
    <x v="12"/>
    <x v="2"/>
    <x v="27"/>
    <s v=""/>
  </r>
  <r>
    <s v="E03346"/>
    <s v="Bin Han"/>
    <x v="28"/>
    <x v="3"/>
    <x v="1"/>
    <x v="0"/>
    <s v="Asian"/>
    <n v="31"/>
    <x v="2"/>
    <x v="288"/>
    <n v="71755"/>
    <x v="4"/>
    <x v="0"/>
    <x v="103"/>
    <s v=""/>
  </r>
  <r>
    <s v="E04070"/>
    <s v="Charu Mehta"/>
    <x v="17"/>
    <x v="1"/>
    <x v="2"/>
    <x v="1"/>
    <s v="Asian"/>
    <n v="63"/>
    <x v="1"/>
    <x v="289"/>
    <n v="72340"/>
    <x v="5"/>
    <x v="1"/>
    <x v="104"/>
    <d v="2019-04-03T00:00:00"/>
  </r>
  <r>
    <s v="E04693"/>
    <s v="Daichi Tanaka"/>
    <x v="8"/>
    <x v="2"/>
    <x v="2"/>
    <x v="1"/>
    <s v="Asian"/>
    <n v="33"/>
    <x v="2"/>
    <x v="290"/>
    <n v="69332"/>
    <x v="11"/>
    <x v="0"/>
    <x v="105"/>
    <s v=""/>
  </r>
  <r>
    <s v="E03199"/>
    <s v="Ekta Verma"/>
    <x v="4"/>
    <x v="6"/>
    <x v="3"/>
    <x v="0"/>
    <s v="Asian"/>
    <n v="31"/>
    <x v="2"/>
    <x v="291"/>
    <n v="97078"/>
    <x v="5"/>
    <x v="5"/>
    <x v="106"/>
    <d v="2020-03-09T00:00:00"/>
  </r>
  <r>
    <s v="E02316"/>
    <s v="Fadil Rahman"/>
    <x v="19"/>
    <x v="2"/>
    <x v="1"/>
    <x v="1"/>
    <s v="Asian"/>
    <n v="29"/>
    <x v="3"/>
    <x v="292"/>
    <n v="63985"/>
    <x v="10"/>
    <x v="0"/>
    <x v="107"/>
    <s v=""/>
  </r>
  <r>
    <s v="E03123"/>
    <s v="Gyan Kapoor"/>
    <x v="0"/>
    <x v="0"/>
    <x v="3"/>
    <x v="0"/>
    <s v="Asian"/>
    <n v="34"/>
    <x v="2"/>
    <x v="293"/>
    <n v="110054"/>
    <x v="8"/>
    <x v="9"/>
    <x v="108"/>
    <s v=""/>
  </r>
  <r>
    <s v="E03254"/>
    <s v="Hana Kim"/>
    <x v="10"/>
    <x v="3"/>
    <x v="2"/>
    <x v="0"/>
    <s v="Asian"/>
    <n v="62"/>
    <x v="1"/>
    <x v="294"/>
    <n v="138808"/>
    <x v="3"/>
    <x v="0"/>
    <x v="109"/>
    <s v=""/>
  </r>
  <r>
    <s v="E03359"/>
    <s v="Imtiyaz Ali"/>
    <x v="10"/>
    <x v="2"/>
    <x v="2"/>
    <x v="0"/>
    <s v="Asian"/>
    <n v="46"/>
    <x v="0"/>
    <x v="295"/>
    <n v="136716"/>
    <x v="4"/>
    <x v="2"/>
    <x v="110"/>
    <s v=""/>
  </r>
  <r>
    <s v="E03572"/>
    <s v="Jiaying Chen"/>
    <x v="1"/>
    <x v="2"/>
    <x v="2"/>
    <x v="1"/>
    <s v="Asian"/>
    <n v="27"/>
    <x v="3"/>
    <x v="296"/>
    <n v="167100"/>
    <x v="10"/>
    <x v="0"/>
    <x v="46"/>
    <s v=""/>
  </r>
  <r>
    <s v="E04900"/>
    <s v="Kavitha Naidu"/>
    <x v="0"/>
    <x v="0"/>
    <x v="0"/>
    <x v="0"/>
    <s v="Asian"/>
    <n v="60"/>
    <x v="1"/>
    <x v="297"/>
    <n v="106079"/>
    <x v="11"/>
    <x v="0"/>
    <x v="111"/>
    <d v="2021-04-09T00:00:00"/>
  </r>
  <r>
    <s v="E04442"/>
    <s v="Krish Menon"/>
    <x v="7"/>
    <x v="6"/>
    <x v="3"/>
    <x v="0"/>
    <s v="Asian"/>
    <n v="40"/>
    <x v="2"/>
    <x v="298"/>
    <n v="120905"/>
    <x v="9"/>
    <x v="2"/>
    <x v="112"/>
    <s v=""/>
  </r>
  <r>
    <s v="E04330"/>
    <s v="Lei Wang"/>
    <x v="33"/>
    <x v="0"/>
    <x v="2"/>
    <x v="0"/>
    <s v="Asian"/>
    <n v="57"/>
    <x v="0"/>
    <x v="299"/>
    <n v="103183"/>
    <x v="6"/>
    <x v="0"/>
    <x v="113"/>
    <d v="2021-07-09T00:00:00"/>
  </r>
  <r>
    <s v="E03813"/>
    <s v="Mala Reddy"/>
    <x v="16"/>
    <x v="1"/>
    <x v="0"/>
    <x v="0"/>
    <s v="Asian"/>
    <n v="34"/>
    <x v="2"/>
    <x v="300"/>
    <n v="58993"/>
    <x v="0"/>
    <x v="0"/>
    <x v="103"/>
    <s v=""/>
  </r>
  <r>
    <s v="E04919"/>
    <s v="Manu Singh"/>
    <x v="4"/>
    <x v="1"/>
    <x v="3"/>
    <x v="0"/>
    <s v="Asian"/>
    <n v="63"/>
    <x v="1"/>
    <x v="301"/>
    <n v="73200"/>
    <x v="6"/>
    <x v="2"/>
    <x v="114"/>
    <s v=""/>
  </r>
  <r>
    <s v="E04599"/>
    <s v="Mei Xiang"/>
    <x v="11"/>
    <x v="3"/>
    <x v="3"/>
    <x v="1"/>
    <s v="Asian"/>
    <n v="31"/>
    <x v="2"/>
    <x v="301"/>
    <n v="47913"/>
    <x v="3"/>
    <x v="0"/>
    <x v="115"/>
    <s v=""/>
  </r>
  <r>
    <s v="E04409"/>
    <s v="Nandita Shah"/>
    <x v="17"/>
    <x v="1"/>
    <x v="0"/>
    <x v="1"/>
    <s v="Asian"/>
    <n v="40"/>
    <x v="2"/>
    <x v="302"/>
    <n v="55457"/>
    <x v="7"/>
    <x v="1"/>
    <x v="116"/>
    <s v=""/>
  </r>
  <r>
    <s v="E02921"/>
    <s v="Nishant Verma"/>
    <x v="10"/>
    <x v="5"/>
    <x v="3"/>
    <x v="1"/>
    <s v="Asian"/>
    <n v="33"/>
    <x v="2"/>
    <x v="303"/>
    <n v="140402"/>
    <x v="3"/>
    <x v="0"/>
    <x v="117"/>
    <s v=""/>
  </r>
  <r>
    <s v="E04789"/>
    <s v="Ong Wei"/>
    <x v="14"/>
    <x v="0"/>
    <x v="0"/>
    <x v="0"/>
    <s v="Asian"/>
    <n v="55"/>
    <x v="0"/>
    <x v="304"/>
    <n v="83378"/>
    <x v="9"/>
    <x v="8"/>
    <x v="80"/>
    <s v=""/>
  </r>
  <r>
    <s v="E02789"/>
    <s v="Priyanka Patel"/>
    <x v="15"/>
    <x v="2"/>
    <x v="0"/>
    <x v="0"/>
    <s v="Asian"/>
    <n v="43"/>
    <x v="2"/>
    <x v="305"/>
    <n v="59888"/>
    <x v="2"/>
    <x v="0"/>
    <x v="118"/>
    <s v=""/>
  </r>
  <r>
    <s v="E03631"/>
    <s v="Qian Zhang"/>
    <x v="32"/>
    <x v="0"/>
    <x v="0"/>
    <x v="1"/>
    <s v="Asian"/>
    <n v="63"/>
    <x v="1"/>
    <x v="306"/>
    <n v="67987"/>
    <x v="10"/>
    <x v="2"/>
    <x v="119"/>
    <s v=""/>
  </r>
  <r>
    <s v="E04532"/>
    <s v="Raj Kapoor"/>
    <x v="7"/>
    <x v="5"/>
    <x v="2"/>
    <x v="0"/>
    <s v="Asian"/>
    <n v="50"/>
    <x v="0"/>
    <x v="307"/>
    <n v="106437"/>
    <x v="9"/>
    <x v="0"/>
    <x v="120"/>
    <s v=""/>
  </r>
  <r>
    <s v="E03672"/>
    <s v="Reina Tanaka"/>
    <x v="7"/>
    <x v="4"/>
    <x v="3"/>
    <x v="0"/>
    <s v="Asian"/>
    <n v="49"/>
    <x v="0"/>
    <x v="308"/>
    <n v="119397"/>
    <x v="1"/>
    <x v="0"/>
    <x v="121"/>
    <d v="2019-03-14T00:00:00"/>
  </r>
  <r>
    <s v="E04304"/>
    <s v="Sachin Sharma"/>
    <x v="10"/>
    <x v="4"/>
    <x v="3"/>
    <x v="0"/>
    <s v="Asian"/>
    <n v="52"/>
    <x v="0"/>
    <x v="309"/>
    <n v="154884"/>
    <x v="2"/>
    <x v="1"/>
    <x v="122"/>
    <s v=""/>
  </r>
  <r>
    <s v="E03839"/>
    <s v="Sarita Naidu"/>
    <x v="1"/>
    <x v="1"/>
    <x v="0"/>
    <x v="1"/>
    <s v="Asian"/>
    <n v="41"/>
    <x v="2"/>
    <x v="310"/>
    <n v="171173"/>
    <x v="0"/>
    <x v="0"/>
    <x v="123"/>
    <s v=""/>
  </r>
  <r>
    <s v="E04591"/>
    <s v="Shun Yamamoto"/>
    <x v="16"/>
    <x v="6"/>
    <x v="3"/>
    <x v="0"/>
    <s v="Asian"/>
    <n v="28"/>
    <x v="3"/>
    <x v="311"/>
    <n v="61410"/>
    <x v="8"/>
    <x v="9"/>
    <x v="124"/>
    <s v=""/>
  </r>
  <r>
    <s v="E03451"/>
    <s v="Sonia Verma"/>
    <x v="12"/>
    <x v="0"/>
    <x v="2"/>
    <x v="1"/>
    <s v="Asian"/>
    <n v="55"/>
    <x v="0"/>
    <x v="312"/>
    <n v="221465"/>
    <x v="1"/>
    <x v="10"/>
    <x v="125"/>
    <s v=""/>
  </r>
  <r>
    <s v="E04194"/>
    <s v="Takashi Nakamura"/>
    <x v="7"/>
    <x v="1"/>
    <x v="1"/>
    <x v="1"/>
    <s v="Asian"/>
    <n v="27"/>
    <x v="3"/>
    <x v="313"/>
    <n v="127616"/>
    <x v="0"/>
    <x v="4"/>
    <x v="126"/>
    <s v=""/>
  </r>
  <r>
    <s v="E04714"/>
    <s v="Uday Desai"/>
    <x v="7"/>
    <x v="4"/>
    <x v="0"/>
    <x v="0"/>
    <s v="Asian"/>
    <n v="27"/>
    <x v="3"/>
    <x v="314"/>
    <n v="114441"/>
    <x v="6"/>
    <x v="0"/>
    <x v="127"/>
    <d v="2019-12-22T00:00:00"/>
  </r>
  <r>
    <s v="E04681"/>
    <s v="Varsha Menon"/>
    <x v="19"/>
    <x v="2"/>
    <x v="2"/>
    <x v="0"/>
    <s v="Asian"/>
    <n v="34"/>
    <x v="2"/>
    <x v="315"/>
    <n v="61944"/>
    <x v="1"/>
    <x v="2"/>
    <x v="128"/>
    <s v=""/>
  </r>
  <r>
    <s v="E02841"/>
    <s v="Weiwei Chen"/>
    <x v="21"/>
    <x v="6"/>
    <x v="2"/>
    <x v="1"/>
    <s v="Asian"/>
    <n v="40"/>
    <x v="2"/>
    <x v="316"/>
    <n v="57225"/>
    <x v="0"/>
    <x v="2"/>
    <x v="129"/>
    <s v=""/>
  </r>
  <r>
    <s v="E03386"/>
    <s v="Xiaoli Zhang"/>
    <x v="32"/>
    <x v="0"/>
    <x v="0"/>
    <x v="1"/>
    <s v="Asian"/>
    <n v="36"/>
    <x v="2"/>
    <x v="317"/>
    <n v="96757"/>
    <x v="9"/>
    <x v="0"/>
    <x v="130"/>
    <s v=""/>
  </r>
  <r>
    <s v="E04215"/>
    <s v="Yash Joshi"/>
    <x v="7"/>
    <x v="3"/>
    <x v="1"/>
    <x v="0"/>
    <s v="Asian"/>
    <n v="41"/>
    <x v="2"/>
    <x v="318"/>
    <n v="126950"/>
    <x v="7"/>
    <x v="0"/>
    <x v="72"/>
    <s v=""/>
  </r>
  <r>
    <s v="E04604"/>
    <s v="Aanya Singh"/>
    <x v="21"/>
    <x v="5"/>
    <x v="1"/>
    <x v="1"/>
    <s v="Asian"/>
    <n v="52"/>
    <x v="0"/>
    <x v="319"/>
    <n v="55859"/>
    <x v="10"/>
    <x v="1"/>
    <x v="102"/>
    <s v=""/>
  </r>
  <r>
    <s v="E03151"/>
    <s v="Akihiko Tanaka"/>
    <x v="3"/>
    <x v="0"/>
    <x v="2"/>
    <x v="0"/>
    <s v="Asian"/>
    <n v="64"/>
    <x v="1"/>
    <x v="320"/>
    <n v="67114"/>
    <x v="11"/>
    <x v="0"/>
    <x v="39"/>
    <s v=""/>
  </r>
  <r>
    <s v="E04738"/>
    <s v="Anjum Khan"/>
    <x v="4"/>
    <x v="5"/>
    <x v="2"/>
    <x v="1"/>
    <s v="Asian"/>
    <n v="35"/>
    <x v="2"/>
    <x v="321"/>
    <n v="74779"/>
    <x v="2"/>
    <x v="2"/>
    <x v="27"/>
    <s v=""/>
  </r>
  <r>
    <s v="E04832"/>
    <s v="Bo Wang"/>
    <x v="24"/>
    <x v="2"/>
    <x v="2"/>
    <x v="1"/>
    <s v="Asian"/>
    <n v="30"/>
    <x v="3"/>
    <x v="322"/>
    <n v="86774"/>
    <x v="6"/>
    <x v="0"/>
    <x v="103"/>
    <s v=""/>
  </r>
  <r>
    <s v="E03820"/>
    <s v="Chetna Patel"/>
    <x v="16"/>
    <x v="1"/>
    <x v="0"/>
    <x v="1"/>
    <s v="Asian"/>
    <n v="45"/>
    <x v="2"/>
    <x v="323"/>
    <n v="52621"/>
    <x v="1"/>
    <x v="1"/>
    <x v="104"/>
    <s v=""/>
  </r>
  <r>
    <s v="E04685"/>
    <s v="Daisuke Sato"/>
    <x v="6"/>
    <x v="3"/>
    <x v="0"/>
    <x v="1"/>
    <s v="Asian"/>
    <n v="45"/>
    <x v="2"/>
    <x v="324"/>
    <n v="90870"/>
    <x v="3"/>
    <x v="0"/>
    <x v="105"/>
    <s v=""/>
  </r>
  <r>
    <s v="E02793"/>
    <s v="Esha Reddy"/>
    <x v="4"/>
    <x v="5"/>
    <x v="1"/>
    <x v="0"/>
    <s v="Asian"/>
    <n v="49"/>
    <x v="0"/>
    <x v="325"/>
    <n v="80700"/>
    <x v="4"/>
    <x v="5"/>
    <x v="106"/>
    <s v=""/>
  </r>
  <r>
    <s v="E04207"/>
    <s v="Farid Rahman"/>
    <x v="1"/>
    <x v="4"/>
    <x v="3"/>
    <x v="0"/>
    <s v="Asian"/>
    <n v="31"/>
    <x v="2"/>
    <x v="326"/>
    <n v="176710"/>
    <x v="6"/>
    <x v="0"/>
    <x v="107"/>
    <s v=""/>
  </r>
  <r>
    <s v="E03097"/>
    <s v="Gautam Kapoor"/>
    <x v="16"/>
    <x v="6"/>
    <x v="1"/>
    <x v="0"/>
    <s v="Asian"/>
    <n v="49"/>
    <x v="0"/>
    <x v="327"/>
    <n v="50883"/>
    <x v="12"/>
    <x v="9"/>
    <x v="108"/>
    <d v="2021-03-02T00:00:00"/>
  </r>
  <r>
    <s v="E04421"/>
    <s v="Hikari Tanaka"/>
    <x v="10"/>
    <x v="4"/>
    <x v="3"/>
    <x v="1"/>
    <s v="Asian"/>
    <n v="31"/>
    <x v="2"/>
    <x v="328"/>
    <n v="126353"/>
    <x v="9"/>
    <x v="0"/>
    <x v="109"/>
    <s v=""/>
  </r>
  <r>
    <s v="E04399"/>
    <s v="Ishita Verma"/>
    <x v="21"/>
    <x v="6"/>
    <x v="1"/>
    <x v="1"/>
    <s v="Asian"/>
    <n v="27"/>
    <x v="3"/>
    <x v="329"/>
    <n v="50809"/>
    <x v="10"/>
    <x v="2"/>
    <x v="110"/>
    <s v=""/>
  </r>
  <r>
    <s v="E04247"/>
    <s v="Jiahui Chen"/>
    <x v="23"/>
    <x v="2"/>
    <x v="3"/>
    <x v="0"/>
    <s v="Asian"/>
    <n v="34"/>
    <x v="2"/>
    <x v="330"/>
    <n v="94735"/>
    <x v="3"/>
    <x v="0"/>
    <x v="46"/>
    <s v=""/>
  </r>
  <r>
    <s v="E03242"/>
    <s v="Kalyan Naidu"/>
    <x v="7"/>
    <x v="4"/>
    <x v="2"/>
    <x v="1"/>
    <s v="Asian"/>
    <n v="64"/>
    <x v="1"/>
    <x v="331"/>
    <n v="108780"/>
    <x v="8"/>
    <x v="0"/>
    <x v="111"/>
    <s v=""/>
  </r>
  <r>
    <s v="E04269"/>
    <s v="Kritika Sharma"/>
    <x v="15"/>
    <x v="2"/>
    <x v="0"/>
    <x v="1"/>
    <s v="Asian"/>
    <n v="28"/>
    <x v="3"/>
    <x v="332"/>
    <n v="50111"/>
    <x v="2"/>
    <x v="2"/>
    <x v="112"/>
    <s v=""/>
  </r>
  <r>
    <s v="E03297"/>
    <s v="Le Wang"/>
    <x v="1"/>
    <x v="3"/>
    <x v="3"/>
    <x v="0"/>
    <s v="Asian"/>
    <n v="47"/>
    <x v="0"/>
    <x v="333"/>
    <n v="195385"/>
    <x v="2"/>
    <x v="0"/>
    <x v="113"/>
    <s v=""/>
  </r>
  <r>
    <s v="E04239"/>
    <s v="Meena Raj"/>
    <x v="1"/>
    <x v="1"/>
    <x v="0"/>
    <x v="0"/>
    <s v="Asian"/>
    <n v="27"/>
    <x v="3"/>
    <x v="334"/>
    <n v="174607"/>
    <x v="9"/>
    <x v="0"/>
    <x v="103"/>
    <s v=""/>
  </r>
  <r>
    <s v="E03300"/>
    <s v="Mohan Kumar"/>
    <x v="29"/>
    <x v="0"/>
    <x v="2"/>
    <x v="1"/>
    <s v="Asian"/>
    <n v="29"/>
    <x v="3"/>
    <x v="335"/>
    <n v="75012"/>
    <x v="4"/>
    <x v="2"/>
    <x v="114"/>
    <s v=""/>
  </r>
  <r>
    <s v="E04223"/>
    <s v="Naoki Sato"/>
    <x v="12"/>
    <x v="4"/>
    <x v="0"/>
    <x v="0"/>
    <s v="Asian"/>
    <n v="39"/>
    <x v="2"/>
    <x v="336"/>
    <n v="254057"/>
    <x v="5"/>
    <x v="0"/>
    <x v="115"/>
    <s v=""/>
  </r>
  <r>
    <s v="E03484"/>
    <s v="Nisha Verma"/>
    <x v="1"/>
    <x v="4"/>
    <x v="3"/>
    <x v="1"/>
    <s v="Asian"/>
    <n v="28"/>
    <x v="3"/>
    <x v="337"/>
    <n v="182321"/>
    <x v="5"/>
    <x v="1"/>
    <x v="116"/>
    <s v=""/>
  </r>
  <r>
    <s v="E04288"/>
    <s v="Omar Malik"/>
    <x v="14"/>
    <x v="0"/>
    <x v="2"/>
    <x v="1"/>
    <s v="Asian"/>
    <n v="34"/>
    <x v="2"/>
    <x v="338"/>
    <n v="99989"/>
    <x v="0"/>
    <x v="0"/>
    <x v="117"/>
    <s v=""/>
  </r>
  <r>
    <s v="E03447"/>
    <s v="Priyanaka Patel"/>
    <x v="8"/>
    <x v="2"/>
    <x v="3"/>
    <x v="1"/>
    <s v="Asian"/>
    <n v="32"/>
    <x v="2"/>
    <x v="339"/>
    <n v="78844"/>
    <x v="9"/>
    <x v="8"/>
    <x v="80"/>
    <s v=""/>
  </r>
  <r>
    <s v="E04252"/>
    <s v="Qi Zhang"/>
    <x v="7"/>
    <x v="4"/>
    <x v="1"/>
    <x v="0"/>
    <s v="Asian"/>
    <n v="28"/>
    <x v="3"/>
    <x v="340"/>
    <n v="115417"/>
    <x v="5"/>
    <x v="0"/>
    <x v="118"/>
    <s v=""/>
  </r>
  <r>
    <s v="E03390"/>
    <s v="Rahul Singh"/>
    <x v="16"/>
    <x v="1"/>
    <x v="3"/>
    <x v="0"/>
    <s v="Asian"/>
    <n v="31"/>
    <x v="2"/>
    <x v="341"/>
    <n v="67171"/>
    <x v="6"/>
    <x v="2"/>
    <x v="119"/>
    <d v="2021-05-01T00:00:00"/>
  </r>
  <r>
    <s v="E04226"/>
    <s v="Roshni Kapoor"/>
    <x v="29"/>
    <x v="0"/>
    <x v="0"/>
    <x v="1"/>
    <s v="Asian"/>
    <n v="37"/>
    <x v="2"/>
    <x v="342"/>
    <n v="80659"/>
    <x v="8"/>
    <x v="0"/>
    <x v="120"/>
    <s v=""/>
  </r>
  <r>
    <s v="E03354"/>
    <s v="Satoshi Tanaka"/>
    <x v="10"/>
    <x v="4"/>
    <x v="0"/>
    <x v="1"/>
    <s v="Asian"/>
    <n v="25"/>
    <x v="3"/>
    <x v="343"/>
    <n v="157057"/>
    <x v="1"/>
    <x v="0"/>
    <x v="121"/>
    <s v=""/>
  </r>
  <r>
    <s v="E04290"/>
    <s v="Shiva Menon"/>
    <x v="3"/>
    <x v="0"/>
    <x v="3"/>
    <x v="0"/>
    <s v="Asian"/>
    <n v="27"/>
    <x v="3"/>
    <x v="344"/>
    <n v="71864"/>
    <x v="10"/>
    <x v="1"/>
    <x v="122"/>
    <s v=""/>
  </r>
  <r>
    <s v="E03424"/>
    <s v="Soo Kim"/>
    <x v="31"/>
    <x v="2"/>
    <x v="3"/>
    <x v="1"/>
    <s v="Asian"/>
    <n v="39"/>
    <x v="2"/>
    <x v="345"/>
    <n v="90535"/>
    <x v="12"/>
    <x v="0"/>
    <x v="123"/>
    <s v=""/>
  </r>
  <r>
    <s v="E04244"/>
    <s v="Tenzin Wangchuk"/>
    <x v="12"/>
    <x v="2"/>
    <x v="0"/>
    <x v="0"/>
    <s v="Asian"/>
    <n v="26"/>
    <x v="3"/>
    <x v="346"/>
    <n v="256561"/>
    <x v="1"/>
    <x v="9"/>
    <x v="124"/>
    <s v=""/>
  </r>
  <r>
    <s v="E03360"/>
    <s v="Trang Nguyen"/>
    <x v="4"/>
    <x v="1"/>
    <x v="0"/>
    <x v="1"/>
    <s v="Asian"/>
    <n v="62"/>
    <x v="1"/>
    <x v="347"/>
    <n v="97830"/>
    <x v="2"/>
    <x v="10"/>
    <x v="125"/>
    <s v=""/>
  </r>
  <r>
    <s v="E04293"/>
    <s v="Veer Khanna"/>
    <x v="27"/>
    <x v="2"/>
    <x v="0"/>
    <x v="0"/>
    <s v="Asian"/>
    <n v="28"/>
    <x v="3"/>
    <x v="348"/>
    <n v="67925"/>
    <x v="4"/>
    <x v="4"/>
    <x v="126"/>
    <s v=""/>
  </r>
  <r>
    <s v="E03404"/>
    <s v="Wei Yang"/>
    <x v="1"/>
    <x v="5"/>
    <x v="0"/>
    <x v="1"/>
    <s v="Asian"/>
    <n v="27"/>
    <x v="3"/>
    <x v="348"/>
    <n v="153628"/>
    <x v="11"/>
    <x v="0"/>
    <x v="127"/>
    <d v="2020-12-12T00:00:00"/>
  </r>
  <r>
    <s v="E04267"/>
    <s v="Xiu Lan"/>
    <x v="4"/>
    <x v="6"/>
    <x v="3"/>
    <x v="1"/>
    <s v="Asian"/>
    <n v="45"/>
    <x v="2"/>
    <x v="349"/>
    <n v="89841"/>
    <x v="7"/>
    <x v="2"/>
    <x v="128"/>
    <s v=""/>
  </r>
  <r>
    <s v="E03326"/>
    <s v="Yuriko Tanaka"/>
    <x v="1"/>
    <x v="5"/>
    <x v="3"/>
    <x v="1"/>
    <s v="Asian"/>
    <n v="34"/>
    <x v="2"/>
    <x v="350"/>
    <n v="184960"/>
    <x v="12"/>
    <x v="2"/>
    <x v="129"/>
    <s v=""/>
  </r>
  <r>
    <s v="E04258"/>
    <s v="Zara Ahmed"/>
    <x v="20"/>
    <x v="2"/>
    <x v="2"/>
    <x v="0"/>
    <s v="Asian"/>
    <n v="33"/>
    <x v="2"/>
    <x v="351"/>
    <n v="69453"/>
    <x v="1"/>
    <x v="0"/>
    <x v="130"/>
    <s v=""/>
  </r>
  <r>
    <s v="E03330"/>
    <s v="Aditi Joshi"/>
    <x v="12"/>
    <x v="6"/>
    <x v="1"/>
    <x v="1"/>
    <s v="Asian"/>
    <n v="63"/>
    <x v="1"/>
    <x v="352"/>
    <n v="216195"/>
    <x v="4"/>
    <x v="0"/>
    <x v="0"/>
    <s v=""/>
  </r>
  <r>
    <s v="E04275"/>
    <s v="Akira Nakamura"/>
    <x v="1"/>
    <x v="2"/>
    <x v="0"/>
    <x v="1"/>
    <s v="Asian"/>
    <n v="29"/>
    <x v="3"/>
    <x v="353"/>
    <n v="161203"/>
    <x v="10"/>
    <x v="0"/>
    <x v="1"/>
    <s v=""/>
  </r>
  <r>
    <s v="E03477"/>
    <s v="Ankit Sharma"/>
    <x v="23"/>
    <x v="2"/>
    <x v="0"/>
    <x v="0"/>
    <s v="Asian"/>
    <n v="31"/>
    <x v="2"/>
    <x v="354"/>
    <n v="96567"/>
    <x v="12"/>
    <x v="1"/>
    <x v="2"/>
    <s v=""/>
  </r>
  <r>
    <s v="E04298"/>
    <s v="Bai Wei"/>
    <x v="1"/>
    <x v="0"/>
    <x v="3"/>
    <x v="1"/>
    <s v="Asian"/>
    <n v="46"/>
    <x v="0"/>
    <x v="355"/>
    <n v="151853"/>
    <x v="0"/>
    <x v="0"/>
    <x v="3"/>
    <s v=""/>
  </r>
  <r>
    <s v="E03432"/>
    <s v="Chetan Patel"/>
    <x v="12"/>
    <x v="2"/>
    <x v="0"/>
    <x v="0"/>
    <s v="Asian"/>
    <n v="40"/>
    <x v="2"/>
    <x v="356"/>
    <n v="234469"/>
    <x v="5"/>
    <x v="2"/>
    <x v="4"/>
    <s v=""/>
  </r>
  <r>
    <s v="E04308"/>
    <s v="Dian Li"/>
    <x v="18"/>
    <x v="2"/>
    <x v="3"/>
    <x v="1"/>
    <s v="Asian"/>
    <n v="39"/>
    <x v="2"/>
    <x v="357"/>
    <n v="48415"/>
    <x v="10"/>
    <x v="3"/>
    <x v="5"/>
    <s v=""/>
  </r>
  <r>
    <s v="E03488"/>
    <s v="Elena Chen"/>
    <x v="30"/>
    <x v="2"/>
    <x v="2"/>
    <x v="0"/>
    <s v="Asian"/>
    <n v="27"/>
    <x v="3"/>
    <x v="358"/>
    <n v="92321"/>
    <x v="7"/>
    <x v="0"/>
    <x v="6"/>
    <s v=""/>
  </r>
  <r>
    <s v="E04255"/>
    <s v="Faisal Rahman"/>
    <x v="33"/>
    <x v="0"/>
    <x v="0"/>
    <x v="1"/>
    <s v="Asian"/>
    <n v="46"/>
    <x v="0"/>
    <x v="359"/>
    <n v="86538"/>
    <x v="3"/>
    <x v="2"/>
    <x v="7"/>
    <s v=""/>
  </r>
  <r>
    <s v="E03456"/>
    <s v="Gopal Verma"/>
    <x v="25"/>
    <x v="1"/>
    <x v="0"/>
    <x v="1"/>
    <s v="Asian"/>
    <n v="46"/>
    <x v="0"/>
    <x v="360"/>
    <n v="72131"/>
    <x v="4"/>
    <x v="0"/>
    <x v="8"/>
    <s v=""/>
  </r>
  <r>
    <s v="E04281"/>
    <s v="Hina Tanaka"/>
    <x v="18"/>
    <x v="2"/>
    <x v="2"/>
    <x v="0"/>
    <s v="Asian"/>
    <n v="25"/>
    <x v="3"/>
    <x v="360"/>
    <n v="41844"/>
    <x v="3"/>
    <x v="0"/>
    <x v="9"/>
    <s v=""/>
  </r>
  <r>
    <s v="E03543"/>
    <s v="Isha Kapoor"/>
    <x v="28"/>
    <x v="3"/>
    <x v="3"/>
    <x v="0"/>
    <s v="Asian"/>
    <n v="25"/>
    <x v="3"/>
    <x v="361"/>
    <n v="67299"/>
    <x v="3"/>
    <x v="1"/>
    <x v="10"/>
    <s v=""/>
  </r>
  <r>
    <s v="E04305"/>
    <s v="Jie Chen"/>
    <x v="17"/>
    <x v="1"/>
    <x v="0"/>
    <x v="1"/>
    <s v="Asian"/>
    <n v="33"/>
    <x v="2"/>
    <x v="362"/>
    <n v="56405"/>
    <x v="3"/>
    <x v="0"/>
    <x v="11"/>
    <s v=""/>
  </r>
  <r>
    <s v="E03464"/>
    <s v="Kavita Menon"/>
    <x v="12"/>
    <x v="6"/>
    <x v="2"/>
    <x v="0"/>
    <s v="Asian"/>
    <n v="25"/>
    <x v="3"/>
    <x v="363"/>
    <n v="198243"/>
    <x v="4"/>
    <x v="2"/>
    <x v="12"/>
    <s v=""/>
  </r>
  <r>
    <s v="E04303"/>
    <s v="Krish Kapoor"/>
    <x v="21"/>
    <x v="1"/>
    <x v="0"/>
    <x v="1"/>
    <s v="Asian"/>
    <n v="30"/>
    <x v="3"/>
    <x v="364"/>
    <n v="48340"/>
    <x v="2"/>
    <x v="0"/>
    <x v="13"/>
    <s v=""/>
  </r>
  <r>
    <s v="E03512"/>
    <s v="Li Wei"/>
    <x v="1"/>
    <x v="3"/>
    <x v="1"/>
    <x v="1"/>
    <s v="Asian"/>
    <n v="27"/>
    <x v="3"/>
    <x v="365"/>
    <n v="199041"/>
    <x v="1"/>
    <x v="1"/>
    <x v="14"/>
    <s v=""/>
  </r>
  <r>
    <s v="E04234"/>
    <s v="Mihir Shah"/>
    <x v="21"/>
    <x v="4"/>
    <x v="0"/>
    <x v="1"/>
    <s v="Asian"/>
    <n v="40"/>
    <x v="2"/>
    <x v="366"/>
    <n v="46833"/>
    <x v="3"/>
    <x v="0"/>
    <x v="15"/>
    <d v="2021-11-10T00:00:00"/>
  </r>
  <r>
    <s v="E03428"/>
    <s v="Mona Patel"/>
    <x v="10"/>
    <x v="4"/>
    <x v="0"/>
    <x v="0"/>
    <s v="Asian"/>
    <n v="45"/>
    <x v="2"/>
    <x v="367"/>
    <n v="135062"/>
    <x v="10"/>
    <x v="2"/>
    <x v="16"/>
    <s v=""/>
  </r>
  <r>
    <s v="E04307"/>
    <s v="Natsuki Tanaka"/>
    <x v="11"/>
    <x v="3"/>
    <x v="2"/>
    <x v="1"/>
    <s v="Asian"/>
    <n v="25"/>
    <x v="3"/>
    <x v="368"/>
    <n v="47974"/>
    <x v="11"/>
    <x v="0"/>
    <x v="17"/>
    <s v=""/>
  </r>
  <r>
    <s v="E04272"/>
    <s v="Neelam Verma"/>
    <x v="17"/>
    <x v="1"/>
    <x v="0"/>
    <x v="1"/>
    <s v="Asian"/>
    <n v="54"/>
    <x v="0"/>
    <x v="369"/>
    <n v="56239"/>
    <x v="8"/>
    <x v="0"/>
    <x v="18"/>
    <s v=""/>
  </r>
  <r>
    <s v="E03500"/>
    <s v="Omar Ali"/>
    <x v="7"/>
    <x v="1"/>
    <x v="1"/>
    <x v="0"/>
    <s v="Asian"/>
    <n v="28"/>
    <x v="3"/>
    <x v="370"/>
    <n v="127543"/>
    <x v="1"/>
    <x v="2"/>
    <x v="19"/>
    <s v=""/>
  </r>
  <r>
    <s v="E04306"/>
    <s v="Preeti Sharma"/>
    <x v="10"/>
    <x v="3"/>
    <x v="3"/>
    <x v="0"/>
    <s v="Asian"/>
    <n v="27"/>
    <x v="3"/>
    <x v="371"/>
    <n v="133400"/>
    <x v="11"/>
    <x v="0"/>
    <x v="20"/>
    <s v=""/>
  </r>
  <r>
    <s v="E03472"/>
    <s v="Quan Zhang"/>
    <x v="10"/>
    <x v="5"/>
    <x v="0"/>
    <x v="0"/>
    <s v="Asian"/>
    <n v="43"/>
    <x v="2"/>
    <x v="372"/>
    <n v="146140"/>
    <x v="4"/>
    <x v="0"/>
    <x v="21"/>
    <s v=""/>
  </r>
  <r>
    <s v="E04294"/>
    <s v="Rahul Kapoor"/>
    <x v="1"/>
    <x v="5"/>
    <x v="0"/>
    <x v="1"/>
    <s v="Asian"/>
    <n v="25"/>
    <x v="3"/>
    <x v="372"/>
    <n v="186870"/>
    <x v="6"/>
    <x v="2"/>
    <x v="22"/>
    <s v=""/>
  </r>
  <r>
    <s v="E03448"/>
    <s v="Ritu Singh"/>
    <x v="4"/>
    <x v="6"/>
    <x v="2"/>
    <x v="1"/>
    <s v="Asian"/>
    <n v="44"/>
    <x v="2"/>
    <x v="373"/>
    <n v="98520"/>
    <x v="11"/>
    <x v="0"/>
    <x v="23"/>
    <s v=""/>
  </r>
  <r>
    <s v="E03416"/>
    <s v="Satoshi Sato"/>
    <x v="10"/>
    <x v="5"/>
    <x v="0"/>
    <x v="1"/>
    <s v="Asian"/>
    <n v="51"/>
    <x v="0"/>
    <x v="374"/>
    <n v="146742"/>
    <x v="12"/>
    <x v="0"/>
    <x v="24"/>
    <s v=""/>
  </r>
  <r>
    <s v="E04240"/>
    <s v="Shyam Menon"/>
    <x v="10"/>
    <x v="1"/>
    <x v="2"/>
    <x v="0"/>
    <s v="Asian"/>
    <n v="25"/>
    <x v="3"/>
    <x v="375"/>
    <n v="142731"/>
    <x v="1"/>
    <x v="2"/>
    <x v="25"/>
    <d v="2022-06-03T00:00:00"/>
  </r>
  <r>
    <s v="E03520"/>
    <s v="Siti Nur"/>
    <x v="14"/>
    <x v="0"/>
    <x v="1"/>
    <x v="1"/>
    <s v="Asian"/>
    <n v="25"/>
    <x v="3"/>
    <x v="376"/>
    <n v="86464"/>
    <x v="7"/>
    <x v="0"/>
    <x v="26"/>
    <s v=""/>
  </r>
  <r>
    <s v="E04271"/>
    <s v="Tenzing Wangchuk"/>
    <x v="23"/>
    <x v="2"/>
    <x v="1"/>
    <x v="0"/>
    <s v="Asian"/>
    <n v="29"/>
    <x v="3"/>
    <x v="377"/>
    <n v="71234"/>
    <x v="3"/>
    <x v="2"/>
    <x v="27"/>
    <s v=""/>
  </r>
  <r>
    <s v="E03334"/>
    <s v="Uyen Nguyen"/>
    <x v="10"/>
    <x v="2"/>
    <x v="2"/>
    <x v="1"/>
    <s v="Asian"/>
    <n v="25"/>
    <x v="3"/>
    <x v="378"/>
    <n v="125633"/>
    <x v="5"/>
    <x v="0"/>
    <x v="28"/>
    <s v=""/>
  </r>
  <r>
    <s v="E04301"/>
    <s v="Varun Khanna"/>
    <x v="29"/>
    <x v="0"/>
    <x v="3"/>
    <x v="0"/>
    <s v="Asian"/>
    <n v="25"/>
    <x v="3"/>
    <x v="379"/>
    <n v="67275"/>
    <x v="12"/>
    <x v="0"/>
    <x v="29"/>
    <s v=""/>
  </r>
  <r>
    <s v="E03408"/>
    <s v="Wei Xiu"/>
    <x v="10"/>
    <x v="4"/>
    <x v="2"/>
    <x v="0"/>
    <s v="Asian"/>
    <n v="60"/>
    <x v="1"/>
    <x v="380"/>
    <n v="121480"/>
    <x v="0"/>
    <x v="0"/>
    <x v="30"/>
    <s v=""/>
  </r>
  <r>
    <s v="E04299"/>
    <s v="Xiaowei Zhang"/>
    <x v="21"/>
    <x v="1"/>
    <x v="3"/>
    <x v="0"/>
    <s v="Asian"/>
    <n v="25"/>
    <x v="3"/>
    <x v="381"/>
    <n v="46845"/>
    <x v="3"/>
    <x v="1"/>
    <x v="31"/>
    <s v=""/>
  </r>
  <r>
    <s v="E03496"/>
    <s v="Yash Joshi"/>
    <x v="16"/>
    <x v="1"/>
    <x v="3"/>
    <x v="0"/>
    <s v="Asian"/>
    <n v="55"/>
    <x v="0"/>
    <x v="382"/>
    <n v="67130"/>
    <x v="8"/>
    <x v="0"/>
    <x v="32"/>
    <s v=""/>
  </r>
  <r>
    <s v="E04280"/>
    <s v="Aarohi Singh"/>
    <x v="12"/>
    <x v="4"/>
    <x v="3"/>
    <x v="0"/>
    <s v="Asian"/>
    <n v="38"/>
    <x v="2"/>
    <x v="383"/>
    <n v="255230"/>
    <x v="4"/>
    <x v="0"/>
    <x v="23"/>
    <s v=""/>
  </r>
  <r>
    <s v="E04243"/>
    <s v="Akito Tanaka"/>
    <x v="8"/>
    <x v="2"/>
    <x v="2"/>
    <x v="1"/>
    <s v="Asian"/>
    <n v="50"/>
    <x v="0"/>
    <x v="384"/>
    <n v="83418"/>
    <x v="10"/>
    <x v="2"/>
    <x v="33"/>
    <s v=""/>
  </r>
  <r>
    <s v="E03400"/>
    <s v="Anshu Sharma"/>
    <x v="10"/>
    <x v="4"/>
    <x v="2"/>
    <x v="1"/>
    <s v="Asian"/>
    <n v="25"/>
    <x v="3"/>
    <x v="385"/>
    <n v="136810"/>
    <x v="5"/>
    <x v="0"/>
    <x v="34"/>
    <s v=""/>
  </r>
  <r>
    <s v="E04238"/>
    <s v="Bai Xiu"/>
    <x v="1"/>
    <x v="4"/>
    <x v="0"/>
    <x v="0"/>
    <s v="Asian"/>
    <n v="29"/>
    <x v="3"/>
    <x v="386"/>
    <n v="199783"/>
    <x v="7"/>
    <x v="1"/>
    <x v="35"/>
    <d v="2022-04-10T00:00:00"/>
  </r>
  <r>
    <s v="E03480"/>
    <s v="Chirag Patel"/>
    <x v="12"/>
    <x v="3"/>
    <x v="3"/>
    <x v="1"/>
    <s v="Asian"/>
    <n v="45"/>
    <x v="2"/>
    <x v="387"/>
    <n v="201396"/>
    <x v="3"/>
    <x v="0"/>
    <x v="36"/>
    <s v=""/>
  </r>
  <r>
    <s v="E04229"/>
    <s v="Dinh Li"/>
    <x v="2"/>
    <x v="2"/>
    <x v="0"/>
    <x v="0"/>
    <s v="Asian"/>
    <n v="46"/>
    <x v="0"/>
    <x v="388"/>
    <n v="94790"/>
    <x v="12"/>
    <x v="0"/>
    <x v="37"/>
    <s v=""/>
  </r>
  <r>
    <s v="E03308"/>
    <s v="Ema Chen"/>
    <x v="22"/>
    <x v="0"/>
    <x v="3"/>
    <x v="0"/>
    <s v="Asian"/>
    <n v="29"/>
    <x v="3"/>
    <x v="389"/>
    <n v="91782"/>
    <x v="9"/>
    <x v="1"/>
    <x v="38"/>
    <s v=""/>
  </r>
  <r>
    <s v="E04253"/>
    <s v="Farhan Rahman"/>
    <x v="12"/>
    <x v="5"/>
    <x v="0"/>
    <x v="1"/>
    <s v="Asian"/>
    <n v="25"/>
    <x v="3"/>
    <x v="389"/>
    <n v="210708"/>
    <x v="3"/>
    <x v="0"/>
    <x v="39"/>
    <s v=""/>
  </r>
  <r>
    <s v="E03468"/>
    <s v="Gauri Verma"/>
    <x v="7"/>
    <x v="6"/>
    <x v="1"/>
    <x v="1"/>
    <s v="Asian"/>
    <n v="52"/>
    <x v="0"/>
    <x v="390"/>
    <n v="111006"/>
    <x v="3"/>
    <x v="2"/>
    <x v="40"/>
    <s v=""/>
  </r>
  <r>
    <s v="E04279"/>
    <s v="Anuska Palani"/>
    <x v="7"/>
    <x v="6"/>
    <x v="3"/>
    <x v="1"/>
    <s v="Asian"/>
    <n v="25"/>
    <x v="3"/>
    <x v="391"/>
    <n v="114893"/>
    <x v="2"/>
    <x v="0"/>
    <x v="41"/>
    <s v=""/>
  </r>
  <r>
    <s v="E03320"/>
    <s v="Irfan Kapoor"/>
    <x v="14"/>
    <x v="0"/>
    <x v="1"/>
    <x v="0"/>
    <s v="Asian"/>
    <n v="28"/>
    <x v="3"/>
    <x v="392"/>
    <n v="95670"/>
    <x v="1"/>
    <x v="2"/>
    <x v="42"/>
    <s v=""/>
  </r>
  <r>
    <s v="E04289"/>
    <s v="Senthil Kumar"/>
    <x v="1"/>
    <x v="1"/>
    <x v="1"/>
    <x v="1"/>
    <s v="Asian"/>
    <n v="25"/>
    <x v="3"/>
    <x v="393"/>
    <n v="150666"/>
    <x v="3"/>
    <x v="0"/>
    <x v="43"/>
    <s v=""/>
  </r>
  <r>
    <s v="E04311"/>
    <s v="Hadley Dang"/>
    <x v="12"/>
    <x v="6"/>
    <x v="1"/>
    <x v="1"/>
    <s v="Asian"/>
    <n v="47"/>
    <x v="0"/>
    <x v="394"/>
    <n v="243568"/>
    <x v="1"/>
    <x v="0"/>
    <x v="131"/>
    <s v=""/>
  </r>
  <r>
    <s v="E04287"/>
    <s v="Ava Nelson"/>
    <x v="15"/>
    <x v="2"/>
    <x v="2"/>
    <x v="1"/>
    <s v="Caucasian"/>
    <n v="63"/>
    <x v="1"/>
    <x v="395"/>
    <n v="29000"/>
    <x v="11"/>
    <x v="11"/>
    <x v="132"/>
    <s v=""/>
  </r>
  <r>
    <s v="E04291"/>
    <s v="Jose Ross"/>
    <x v="0"/>
    <x v="0"/>
    <x v="0"/>
    <x v="0"/>
    <s v="Caucasian"/>
    <n v="53"/>
    <x v="0"/>
    <x v="396"/>
    <n v="116878"/>
    <x v="1"/>
    <x v="11"/>
    <x v="133"/>
    <s v=""/>
  </r>
  <r>
    <s v="E04249"/>
    <s v="Emily Contreras"/>
    <x v="16"/>
    <x v="1"/>
    <x v="2"/>
    <x v="1"/>
    <s v="Latino"/>
    <n v="56"/>
    <x v="0"/>
    <x v="397"/>
    <n v="59591"/>
    <x v="9"/>
    <x v="12"/>
    <x v="134"/>
    <s v=""/>
  </r>
  <r>
    <s v="E03336"/>
    <s v="Grayson Turner"/>
    <x v="31"/>
    <x v="2"/>
    <x v="1"/>
    <x v="0"/>
    <s v="Caucasian"/>
    <n v="54"/>
    <x v="0"/>
    <x v="398"/>
    <n v="63196"/>
    <x v="11"/>
    <x v="11"/>
    <x v="135"/>
    <d v="2014-10-26T00:00:00"/>
  </r>
  <r>
    <s v="E04310"/>
    <s v="Benjamin Delgado"/>
    <x v="32"/>
    <x v="0"/>
    <x v="1"/>
    <x v="0"/>
    <s v="Latino"/>
    <n v="64"/>
    <x v="1"/>
    <x v="399"/>
    <n v="70778"/>
    <x v="3"/>
    <x v="11"/>
    <x v="136"/>
    <s v=""/>
  </r>
  <r>
    <s v="E04276"/>
    <s v="Camila Evans"/>
    <x v="7"/>
    <x v="4"/>
    <x v="0"/>
    <x v="1"/>
    <s v="Black"/>
    <n v="55"/>
    <x v="0"/>
    <x v="400"/>
    <n v="113950"/>
    <x v="8"/>
    <x v="11"/>
    <x v="133"/>
    <s v=""/>
  </r>
  <r>
    <s v="E04278"/>
    <s v="Jayden Williams"/>
    <x v="7"/>
    <x v="3"/>
    <x v="2"/>
    <x v="0"/>
    <s v="Caucasian"/>
    <n v="64"/>
    <x v="1"/>
    <x v="401"/>
    <n v="104668"/>
    <x v="7"/>
    <x v="11"/>
    <x v="137"/>
    <s v=""/>
  </r>
  <r>
    <s v="E04246"/>
    <s v="Daniel Jordan"/>
    <x v="30"/>
    <x v="2"/>
    <x v="1"/>
    <x v="0"/>
    <s v="Caucasian"/>
    <n v="58"/>
    <x v="0"/>
    <x v="402"/>
    <n v="69260"/>
    <x v="12"/>
    <x v="11"/>
    <x v="132"/>
    <s v=""/>
  </r>
  <r>
    <s v="E04273"/>
    <s v="Kinsley Martinez"/>
    <x v="1"/>
    <x v="3"/>
    <x v="3"/>
    <x v="1"/>
    <s v="Latino"/>
    <n v="52"/>
    <x v="0"/>
    <x v="403"/>
    <n v="177443"/>
    <x v="10"/>
    <x v="12"/>
    <x v="134"/>
    <s v=""/>
  </r>
  <r>
    <s v="E04295"/>
    <s v="Colton Garcia"/>
    <x v="31"/>
    <x v="2"/>
    <x v="3"/>
    <x v="0"/>
    <s v="Latino"/>
    <n v="55"/>
    <x v="0"/>
    <x v="404"/>
    <n v="80170"/>
    <x v="11"/>
    <x v="11"/>
    <x v="133"/>
    <s v=""/>
  </r>
  <r>
    <s v="E04251"/>
    <s v="Leah Pena"/>
    <x v="26"/>
    <x v="2"/>
    <x v="1"/>
    <x v="1"/>
    <s v="Latino"/>
    <n v="57"/>
    <x v="0"/>
    <x v="405"/>
    <n v="82872"/>
    <x v="3"/>
    <x v="12"/>
    <x v="138"/>
    <s v=""/>
  </r>
  <r>
    <s v="E03338"/>
    <s v="Eliana Grant"/>
    <x v="0"/>
    <x v="0"/>
    <x v="3"/>
    <x v="1"/>
    <s v="Caucasian"/>
    <n v="64"/>
    <x v="1"/>
    <x v="406"/>
    <n v="109456"/>
    <x v="11"/>
    <x v="11"/>
    <x v="135"/>
    <s v=""/>
  </r>
  <r>
    <s v="E04282"/>
    <s v="Lyla Alvarez"/>
    <x v="23"/>
    <x v="2"/>
    <x v="0"/>
    <x v="1"/>
    <s v="Latino"/>
    <n v="55"/>
    <x v="0"/>
    <x v="407"/>
    <n v="73955"/>
    <x v="7"/>
    <x v="11"/>
    <x v="132"/>
    <s v=""/>
  </r>
  <r>
    <s v="E03344"/>
    <s v="Jordan Gomez"/>
    <x v="4"/>
    <x v="6"/>
    <x v="0"/>
    <x v="0"/>
    <s v="Latino"/>
    <n v="58"/>
    <x v="0"/>
    <x v="408"/>
    <n v="98769"/>
    <x v="5"/>
    <x v="12"/>
    <x v="139"/>
    <d v="2016-10-03T00:00:00"/>
  </r>
  <r>
    <s v="E04286"/>
    <s v="Alice Roberts"/>
    <x v="1"/>
    <x v="3"/>
    <x v="2"/>
    <x v="1"/>
    <s v="Caucasian"/>
    <n v="54"/>
    <x v="0"/>
    <x v="409"/>
    <n v="162978"/>
    <x v="11"/>
    <x v="11"/>
    <x v="133"/>
    <d v="2004-05-24T00:00:00"/>
  </r>
  <r>
    <s v="E03352"/>
    <s v="Jameson Juarez"/>
    <x v="29"/>
    <x v="0"/>
    <x v="3"/>
    <x v="0"/>
    <s v="Latino"/>
    <n v="62"/>
    <x v="1"/>
    <x v="410"/>
    <n v="98230"/>
    <x v="2"/>
    <x v="11"/>
    <x v="133"/>
    <s v=""/>
  </r>
  <r>
    <s v="E04245"/>
    <s v="Penelope Gonzalez"/>
    <x v="4"/>
    <x v="1"/>
    <x v="1"/>
    <x v="1"/>
    <s v="Latino"/>
    <n v="52"/>
    <x v="0"/>
    <x v="411"/>
    <n v="93103"/>
    <x v="8"/>
    <x v="11"/>
    <x v="132"/>
    <s v=""/>
  </r>
  <r>
    <s v="E03342"/>
    <s v="Miles Evans"/>
    <x v="20"/>
    <x v="2"/>
    <x v="2"/>
    <x v="0"/>
    <s v="Caucasian"/>
    <n v="54"/>
    <x v="0"/>
    <x v="412"/>
    <n v="87216"/>
    <x v="0"/>
    <x v="11"/>
    <x v="133"/>
    <s v=""/>
  </r>
  <r>
    <s v="E04237"/>
    <s v="Leonardo Martin"/>
    <x v="7"/>
    <x v="5"/>
    <x v="3"/>
    <x v="0"/>
    <s v="Black"/>
    <n v="51"/>
    <x v="0"/>
    <x v="413"/>
    <n v="125375"/>
    <x v="0"/>
    <x v="11"/>
    <x v="135"/>
    <s v=""/>
  </r>
  <r>
    <s v="E03412"/>
    <s v="Alice Soto"/>
    <x v="21"/>
    <x v="6"/>
    <x v="1"/>
    <x v="1"/>
    <s v="Latino"/>
    <n v="56"/>
    <x v="0"/>
    <x v="414"/>
    <n v="50857"/>
    <x v="10"/>
    <x v="12"/>
    <x v="138"/>
    <s v=""/>
  </r>
  <r>
    <s v="E04254"/>
    <s v="Audrey Smith"/>
    <x v="3"/>
    <x v="0"/>
    <x v="0"/>
    <x v="1"/>
    <s v="Caucasian"/>
    <n v="58"/>
    <x v="0"/>
    <x v="415"/>
    <n v="70189"/>
    <x v="9"/>
    <x v="11"/>
    <x v="137"/>
    <s v=""/>
  </r>
  <r>
    <s v="E04270"/>
    <s v="Eloise Griffin"/>
    <x v="1"/>
    <x v="1"/>
    <x v="2"/>
    <x v="1"/>
    <s v="Caucasian"/>
    <n v="55"/>
    <x v="0"/>
    <x v="416"/>
    <n v="153271"/>
    <x v="9"/>
    <x v="11"/>
    <x v="136"/>
    <s v=""/>
  </r>
  <r>
    <s v="E03362"/>
    <s v="Aurora Simmons"/>
    <x v="29"/>
    <x v="0"/>
    <x v="1"/>
    <x v="1"/>
    <s v="Caucasian"/>
    <n v="51"/>
    <x v="0"/>
    <x v="417"/>
    <n v="96475"/>
    <x v="8"/>
    <x v="11"/>
    <x v="136"/>
    <s v=""/>
  </r>
  <r>
    <s v="E04250"/>
    <s v="Josephine Richardson"/>
    <x v="13"/>
    <x v="2"/>
    <x v="2"/>
    <x v="1"/>
    <s v="Caucasian"/>
    <n v="57"/>
    <x v="0"/>
    <x v="418"/>
    <n v="75354"/>
    <x v="7"/>
    <x v="11"/>
    <x v="136"/>
    <d v="1996-12-14T00:00:00"/>
  </r>
  <r>
    <s v="E03436"/>
    <s v="Jaxon Powell"/>
    <x v="3"/>
    <x v="0"/>
    <x v="0"/>
    <x v="0"/>
    <s v="Caucasian"/>
    <n v="59"/>
    <x v="0"/>
    <x v="419"/>
    <n v="62605"/>
    <x v="9"/>
    <x v="11"/>
    <x v="136"/>
    <s v=""/>
  </r>
  <r>
    <s v="E04309"/>
    <s v="Piper Ramos"/>
    <x v="10"/>
    <x v="1"/>
    <x v="2"/>
    <x v="1"/>
    <s v="Latino"/>
    <n v="49"/>
    <x v="0"/>
    <x v="420"/>
    <n v="157057"/>
    <x v="8"/>
    <x v="11"/>
    <x v="133"/>
    <s v=""/>
  </r>
  <r>
    <s v="E03368"/>
    <s v="Avery Bailey"/>
    <x v="4"/>
    <x v="1"/>
    <x v="3"/>
    <x v="1"/>
    <s v="Caucasian"/>
    <n v="49"/>
    <x v="0"/>
    <x v="421"/>
    <n v="86658"/>
    <x v="11"/>
    <x v="11"/>
    <x v="132"/>
    <s v=""/>
  </r>
  <r>
    <s v="E04256"/>
    <s v="Maria Wilson"/>
    <x v="12"/>
    <x v="0"/>
    <x v="0"/>
    <x v="1"/>
    <s v="Caucasian"/>
    <n v="51"/>
    <x v="0"/>
    <x v="422"/>
    <n v="200246"/>
    <x v="3"/>
    <x v="11"/>
    <x v="137"/>
    <s v=""/>
  </r>
  <r>
    <s v="E03374"/>
    <s v="Nora Santiago"/>
    <x v="21"/>
    <x v="6"/>
    <x v="0"/>
    <x v="1"/>
    <s v="Latino"/>
    <n v="55"/>
    <x v="0"/>
    <x v="423"/>
    <n v="48687"/>
    <x v="7"/>
    <x v="12"/>
    <x v="139"/>
    <s v=""/>
  </r>
  <r>
    <s v="E03372"/>
    <s v="David Simmons"/>
    <x v="7"/>
    <x v="4"/>
    <x v="1"/>
    <x v="0"/>
    <s v="Caucasian"/>
    <n v="51"/>
    <x v="0"/>
    <x v="424"/>
    <n v="104431"/>
    <x v="8"/>
    <x v="11"/>
    <x v="132"/>
    <s v=""/>
  </r>
  <r>
    <s v="E04259"/>
    <s v="Ayla Daniels"/>
    <x v="2"/>
    <x v="2"/>
    <x v="1"/>
    <x v="1"/>
    <s v="Caucasian"/>
    <n v="53"/>
    <x v="0"/>
    <x v="425"/>
    <n v="78153"/>
    <x v="5"/>
    <x v="11"/>
    <x v="133"/>
    <s v=""/>
  </r>
  <r>
    <s v="E03364"/>
    <s v="Caroline Nelson"/>
    <x v="25"/>
    <x v="1"/>
    <x v="3"/>
    <x v="1"/>
    <s v="Black"/>
    <n v="60"/>
    <x v="1"/>
    <x v="426"/>
    <n v="71677"/>
    <x v="2"/>
    <x v="11"/>
    <x v="137"/>
    <s v=""/>
  </r>
  <r>
    <s v="E04277"/>
    <s v="Claire Adams"/>
    <x v="1"/>
    <x v="1"/>
    <x v="2"/>
    <x v="1"/>
    <s v="Black"/>
    <n v="61"/>
    <x v="1"/>
    <x v="427"/>
    <n v="159567"/>
    <x v="3"/>
    <x v="11"/>
    <x v="132"/>
    <s v=""/>
  </r>
  <r>
    <s v="E03376"/>
    <s v="Ivy Soto"/>
    <x v="3"/>
    <x v="0"/>
    <x v="0"/>
    <x v="1"/>
    <s v="Latino"/>
    <n v="50"/>
    <x v="0"/>
    <x v="428"/>
    <n v="91763"/>
    <x v="6"/>
    <x v="11"/>
    <x v="136"/>
    <s v=""/>
  </r>
  <r>
    <s v="E04257"/>
    <s v="Lucas Ramos"/>
    <x v="6"/>
    <x v="3"/>
    <x v="3"/>
    <x v="0"/>
    <s v="Latino"/>
    <n v="56"/>
    <x v="0"/>
    <x v="429"/>
    <n v="72303"/>
    <x v="9"/>
    <x v="11"/>
    <x v="132"/>
    <s v=""/>
  </r>
  <r>
    <s v="E03384"/>
    <s v="Xavier Perez"/>
    <x v="4"/>
    <x v="1"/>
    <x v="2"/>
    <x v="0"/>
    <s v="Latino"/>
    <n v="51"/>
    <x v="0"/>
    <x v="430"/>
    <n v="71111"/>
    <x v="3"/>
    <x v="12"/>
    <x v="139"/>
    <s v=""/>
  </r>
  <r>
    <s v="E04242"/>
    <s v="Aubrey Romero"/>
    <x v="1"/>
    <x v="1"/>
    <x v="1"/>
    <x v="1"/>
    <s v="Latino"/>
    <n v="49"/>
    <x v="0"/>
    <x v="431"/>
    <n v="160832"/>
    <x v="4"/>
    <x v="11"/>
    <x v="132"/>
    <s v=""/>
  </r>
  <r>
    <s v="E03378"/>
    <s v="Leo Herrera"/>
    <x v="6"/>
    <x v="3"/>
    <x v="0"/>
    <x v="0"/>
    <s v="Latino"/>
    <n v="48"/>
    <x v="0"/>
    <x v="432"/>
    <n v="85369"/>
    <x v="4"/>
    <x v="12"/>
    <x v="138"/>
    <d v="2004-11-27T00:00:00"/>
  </r>
  <r>
    <s v="E04268"/>
    <s v="Leo Fernandez"/>
    <x v="7"/>
    <x v="5"/>
    <x v="0"/>
    <x v="0"/>
    <s v="Latino"/>
    <n v="54"/>
    <x v="0"/>
    <x v="433"/>
    <n v="108268"/>
    <x v="8"/>
    <x v="12"/>
    <x v="134"/>
    <d v="2004-05-15T00:00:00"/>
  </r>
  <r>
    <s v="E03382"/>
    <s v="Silas Hunter"/>
    <x v="31"/>
    <x v="2"/>
    <x v="1"/>
    <x v="0"/>
    <s v="Black"/>
    <n v="55"/>
    <x v="0"/>
    <x v="434"/>
    <n v="62174"/>
    <x v="6"/>
    <x v="11"/>
    <x v="135"/>
    <s v=""/>
  </r>
  <r>
    <s v="E04264"/>
    <s v="Lily Carter"/>
    <x v="20"/>
    <x v="2"/>
    <x v="0"/>
    <x v="1"/>
    <s v="Caucasian"/>
    <n v="54"/>
    <x v="0"/>
    <x v="435"/>
    <n v="68268"/>
    <x v="3"/>
    <x v="11"/>
    <x v="132"/>
    <s v=""/>
  </r>
  <r>
    <s v="E04241"/>
    <s v="Mateo Mendez"/>
    <x v="29"/>
    <x v="0"/>
    <x v="0"/>
    <x v="0"/>
    <s v="Latino"/>
    <n v="47"/>
    <x v="0"/>
    <x v="436"/>
    <n v="99091"/>
    <x v="1"/>
    <x v="11"/>
    <x v="136"/>
    <s v=""/>
  </r>
  <r>
    <s v="E04284"/>
    <s v="Mila Vasquez"/>
    <x v="22"/>
    <x v="0"/>
    <x v="2"/>
    <x v="1"/>
    <s v="Latino"/>
    <n v="60"/>
    <x v="1"/>
    <x v="437"/>
    <n v="92932"/>
    <x v="2"/>
    <x v="11"/>
    <x v="137"/>
    <s v=""/>
  </r>
  <r>
    <s v="E03396"/>
    <s v="Connor Joseph"/>
    <x v="1"/>
    <x v="3"/>
    <x v="1"/>
    <x v="0"/>
    <s v="Caucasian"/>
    <n v="50"/>
    <x v="0"/>
    <x v="438"/>
    <n v="174895"/>
    <x v="9"/>
    <x v="11"/>
    <x v="135"/>
    <s v=""/>
  </r>
  <r>
    <s v="E04260"/>
    <s v="Lincoln Reyes"/>
    <x v="27"/>
    <x v="2"/>
    <x v="2"/>
    <x v="0"/>
    <s v="Latino"/>
    <n v="60"/>
    <x v="1"/>
    <x v="439"/>
    <n v="85120"/>
    <x v="12"/>
    <x v="11"/>
    <x v="140"/>
    <s v=""/>
  </r>
  <r>
    <s v="E03444"/>
    <s v="Isaac Joseph"/>
    <x v="21"/>
    <x v="1"/>
    <x v="2"/>
    <x v="0"/>
    <s v="Caucasian"/>
    <n v="54"/>
    <x v="0"/>
    <x v="440"/>
    <n v="58006"/>
    <x v="9"/>
    <x v="11"/>
    <x v="140"/>
    <s v=""/>
  </r>
  <r>
    <s v="E04266"/>
    <s v="Hannah Mejia"/>
    <x v="12"/>
    <x v="4"/>
    <x v="1"/>
    <x v="1"/>
    <s v="Latino"/>
    <n v="47"/>
    <x v="0"/>
    <x v="441"/>
    <n v="239394"/>
    <x v="9"/>
    <x v="11"/>
    <x v="136"/>
    <s v=""/>
  </r>
  <r>
    <s v="E03452"/>
    <s v="Eli Jones"/>
    <x v="7"/>
    <x v="3"/>
    <x v="2"/>
    <x v="0"/>
    <s v="Caucasian"/>
    <n v="59"/>
    <x v="0"/>
    <x v="442"/>
    <n v="105086"/>
    <x v="5"/>
    <x v="11"/>
    <x v="136"/>
    <s v=""/>
  </r>
  <r>
    <s v="E04263"/>
    <s v="Jameson Alvarado"/>
    <x v="26"/>
    <x v="2"/>
    <x v="2"/>
    <x v="0"/>
    <s v="Latino"/>
    <n v="47"/>
    <x v="0"/>
    <x v="442"/>
    <n v="92897"/>
    <x v="12"/>
    <x v="12"/>
    <x v="134"/>
    <s v=""/>
  </r>
  <r>
    <s v="E04262"/>
    <s v="Genesis Hunter"/>
    <x v="7"/>
    <x v="5"/>
    <x v="1"/>
    <x v="1"/>
    <s v="Caucasian"/>
    <n v="48"/>
    <x v="0"/>
    <x v="443"/>
    <n v="102847"/>
    <x v="5"/>
    <x v="11"/>
    <x v="135"/>
    <s v=""/>
  </r>
  <r>
    <s v="E04248"/>
    <s v="Nolan Guzman"/>
    <x v="3"/>
    <x v="0"/>
    <x v="3"/>
    <x v="0"/>
    <s v="Latino"/>
    <n v="46"/>
    <x v="0"/>
    <x v="444"/>
    <n v="96997"/>
    <x v="10"/>
    <x v="12"/>
    <x v="134"/>
    <s v=""/>
  </r>
  <r>
    <s v="E04285"/>
    <s v="Everly Walker"/>
    <x v="10"/>
    <x v="1"/>
    <x v="0"/>
    <x v="1"/>
    <s v="Caucasian"/>
    <n v="62"/>
    <x v="1"/>
    <x v="445"/>
    <n v="137995"/>
    <x v="7"/>
    <x v="11"/>
    <x v="136"/>
    <s v=""/>
  </r>
  <r>
    <s v="E03492"/>
    <s v="Riley Ramirez"/>
    <x v="6"/>
    <x v="3"/>
    <x v="0"/>
    <x v="1"/>
    <s v="Latino"/>
    <n v="52"/>
    <x v="0"/>
    <x v="446"/>
    <n v="92994"/>
    <x v="3"/>
    <x v="11"/>
    <x v="135"/>
    <s v=""/>
  </r>
  <r>
    <s v="E04296"/>
    <s v="Daniel Dixon"/>
    <x v="9"/>
    <x v="0"/>
    <x v="3"/>
    <x v="0"/>
    <s v="Caucasian"/>
    <n v="51"/>
    <x v="0"/>
    <x v="447"/>
    <n v="95639"/>
    <x v="8"/>
    <x v="11"/>
    <x v="136"/>
    <s v=""/>
  </r>
  <r>
    <s v="E04297"/>
    <s v="Silas Rivera"/>
    <x v="12"/>
    <x v="1"/>
    <x v="1"/>
    <x v="0"/>
    <s v="Latino"/>
    <n v="48"/>
    <x v="0"/>
    <x v="448"/>
    <n v="258081"/>
    <x v="8"/>
    <x v="11"/>
    <x v="135"/>
    <s v=""/>
  </r>
  <r>
    <s v="E03494"/>
    <s v="Connor Bell"/>
    <x v="30"/>
    <x v="2"/>
    <x v="1"/>
    <x v="0"/>
    <s v="Black"/>
    <n v="54"/>
    <x v="0"/>
    <x v="449"/>
    <n v="76352"/>
    <x v="3"/>
    <x v="11"/>
    <x v="136"/>
    <s v=""/>
  </r>
  <r>
    <s v="E04292"/>
    <s v="Lucas Thomas"/>
    <x v="7"/>
    <x v="6"/>
    <x v="0"/>
    <x v="0"/>
    <s v="Caucasian"/>
    <n v="55"/>
    <x v="0"/>
    <x v="450"/>
    <n v="115798"/>
    <x v="11"/>
    <x v="11"/>
    <x v="133"/>
    <s v=""/>
  </r>
  <r>
    <s v="E04300"/>
    <s v="Allison Roberts"/>
    <x v="12"/>
    <x v="1"/>
    <x v="2"/>
    <x v="1"/>
    <s v="Black"/>
    <n v="54"/>
    <x v="0"/>
    <x v="451"/>
    <n v="222224"/>
    <x v="12"/>
    <x v="11"/>
    <x v="137"/>
    <s v=""/>
  </r>
  <r>
    <s v="E04313"/>
    <s v="Santiago f Brooks"/>
    <x v="10"/>
    <x v="1"/>
    <x v="1"/>
    <x v="0"/>
    <s v="Black"/>
    <n v="51"/>
    <x v="0"/>
    <x v="452"/>
    <n v="157487"/>
    <x v="9"/>
    <x v="11"/>
    <x v="132"/>
    <s v=""/>
  </r>
  <r>
    <s v="E03420"/>
    <s v="Eliana Turner"/>
    <x v="17"/>
    <x v="1"/>
    <x v="0"/>
    <x v="1"/>
    <s v="Black"/>
    <n v="65"/>
    <x v="1"/>
    <x v="453"/>
    <n v="67837"/>
    <x v="0"/>
    <x v="11"/>
    <x v="136"/>
    <s v=""/>
  </r>
  <r>
    <s v="E04314"/>
    <s v="Andrew Moore"/>
    <x v="9"/>
    <x v="0"/>
    <x v="2"/>
    <x v="0"/>
    <s v="Caucasian"/>
    <n v="47"/>
    <x v="0"/>
    <x v="454"/>
    <n v="120628"/>
    <x v="2"/>
    <x v="11"/>
    <x v="135"/>
    <s v=""/>
  </r>
  <r>
    <s v="E04315"/>
    <s v="Paisley Sanders"/>
    <x v="10"/>
    <x v="4"/>
    <x v="3"/>
    <x v="1"/>
    <s v="Caucasian"/>
    <n v="55"/>
    <x v="0"/>
    <x v="455"/>
    <n v="157812"/>
    <x v="11"/>
    <x v="11"/>
    <x v="133"/>
    <s v=""/>
  </r>
  <r>
    <s v="E04316"/>
    <s v="Isaac Sanders"/>
    <x v="28"/>
    <x v="3"/>
    <x v="2"/>
    <x v="0"/>
    <s v="Caucasian"/>
    <n v="49"/>
    <x v="0"/>
    <x v="456"/>
    <n v="57606"/>
    <x v="1"/>
    <x v="11"/>
    <x v="133"/>
    <s v=""/>
  </r>
  <r>
    <s v="E04317"/>
    <s v="Daniel Perry"/>
    <x v="26"/>
    <x v="2"/>
    <x v="0"/>
    <x v="0"/>
    <s v="Caucasian"/>
    <n v="62"/>
    <x v="1"/>
    <x v="457"/>
    <n v="80921"/>
    <x v="6"/>
    <x v="11"/>
    <x v="137"/>
    <s v=""/>
  </r>
  <r>
    <s v="E04318"/>
    <s v="James Castillo"/>
    <x v="12"/>
    <x v="2"/>
    <x v="2"/>
    <x v="0"/>
    <s v="Latino"/>
    <n v="51"/>
    <x v="0"/>
    <x v="458"/>
    <n v="247874"/>
    <x v="11"/>
    <x v="12"/>
    <x v="138"/>
    <s v=""/>
  </r>
  <r>
    <s v="E04319"/>
    <s v="Adrian Fernandez"/>
    <x v="15"/>
    <x v="2"/>
    <x v="0"/>
    <x v="0"/>
    <s v="Latino"/>
    <n v="45"/>
    <x v="2"/>
    <x v="459"/>
    <n v="54994"/>
    <x v="4"/>
    <x v="11"/>
    <x v="137"/>
    <s v=""/>
  </r>
  <r>
    <s v="E04320"/>
    <s v="Everleigh Washington"/>
    <x v="28"/>
    <x v="3"/>
    <x v="0"/>
    <x v="1"/>
    <s v="Caucasian"/>
    <n v="64"/>
    <x v="1"/>
    <x v="460"/>
    <n v="64057"/>
    <x v="5"/>
    <x v="11"/>
    <x v="132"/>
    <s v=""/>
  </r>
  <r>
    <s v="E03392"/>
    <s v="Madelyn Scott"/>
    <x v="10"/>
    <x v="2"/>
    <x v="0"/>
    <x v="1"/>
    <s v="Caucasian"/>
    <n v="46"/>
    <x v="0"/>
    <x v="461"/>
    <n v="148035"/>
    <x v="0"/>
    <x v="11"/>
    <x v="132"/>
    <s v=""/>
  </r>
  <r>
    <s v="E04321"/>
    <s v="Vivian Guzman"/>
    <x v="16"/>
    <x v="5"/>
    <x v="3"/>
    <x v="1"/>
    <s v="Latino"/>
    <n v="53"/>
    <x v="0"/>
    <x v="462"/>
    <n v="58605"/>
    <x v="2"/>
    <x v="11"/>
    <x v="132"/>
    <s v=""/>
  </r>
  <r>
    <s v="E04322"/>
    <s v="Jace Washington"/>
    <x v="7"/>
    <x v="6"/>
    <x v="0"/>
    <x v="0"/>
    <s v="Caucasian"/>
    <n v="44"/>
    <x v="2"/>
    <x v="462"/>
    <n v="117545"/>
    <x v="11"/>
    <x v="11"/>
    <x v="132"/>
    <s v=""/>
  </r>
  <r>
    <s v="E04323"/>
    <s v="Charles Henderson"/>
    <x v="15"/>
    <x v="2"/>
    <x v="3"/>
    <x v="0"/>
    <s v="Caucasian"/>
    <n v="48"/>
    <x v="0"/>
    <x v="463"/>
    <n v="43080"/>
    <x v="10"/>
    <x v="11"/>
    <x v="136"/>
    <s v=""/>
  </r>
  <r>
    <s v="E03380"/>
    <s v="Joseph Ruiz"/>
    <x v="3"/>
    <x v="0"/>
    <x v="2"/>
    <x v="0"/>
    <s v="Latino"/>
    <n v="45"/>
    <x v="2"/>
    <x v="464"/>
    <n v="75819"/>
    <x v="8"/>
    <x v="12"/>
    <x v="134"/>
    <s v=""/>
  </r>
  <r>
    <s v="E04324"/>
    <s v="Bella Powell"/>
    <x v="1"/>
    <x v="5"/>
    <x v="0"/>
    <x v="1"/>
    <s v="Black"/>
    <n v="65"/>
    <x v="1"/>
    <x v="465"/>
    <n v="175837"/>
    <x v="4"/>
    <x v="11"/>
    <x v="132"/>
    <s v=""/>
  </r>
  <r>
    <s v="E04325"/>
    <s v="William Foster"/>
    <x v="3"/>
    <x v="0"/>
    <x v="2"/>
    <x v="0"/>
    <s v="Caucasian"/>
    <n v="58"/>
    <x v="0"/>
    <x v="466"/>
    <n v="76354"/>
    <x v="8"/>
    <x v="11"/>
    <x v="132"/>
    <d v="2021-09-26T00:00:00"/>
  </r>
  <r>
    <s v="E04326"/>
    <s v="Logan Rivera"/>
    <x v="1"/>
    <x v="2"/>
    <x v="0"/>
    <x v="0"/>
    <s v="Latino"/>
    <n v="59"/>
    <x v="0"/>
    <x v="467"/>
    <n v="172787"/>
    <x v="3"/>
    <x v="12"/>
    <x v="139"/>
    <s v=""/>
  </r>
  <r>
    <s v="E04327"/>
    <s v="Xavier Jackson"/>
    <x v="12"/>
    <x v="4"/>
    <x v="3"/>
    <x v="0"/>
    <s v="Caucasian"/>
    <n v="52"/>
    <x v="0"/>
    <x v="468"/>
    <n v="236314"/>
    <x v="1"/>
    <x v="11"/>
    <x v="133"/>
    <s v=""/>
  </r>
  <r>
    <s v="E04328"/>
    <s v="Ezekiel Bryant"/>
    <x v="4"/>
    <x v="5"/>
    <x v="2"/>
    <x v="0"/>
    <s v="Caucasian"/>
    <n v="55"/>
    <x v="0"/>
    <x v="469"/>
    <n v="77396"/>
    <x v="8"/>
    <x v="11"/>
    <x v="133"/>
    <s v=""/>
  </r>
  <r>
    <s v="E04329"/>
    <s v="Hunter Nunez"/>
    <x v="12"/>
    <x v="3"/>
    <x v="1"/>
    <x v="0"/>
    <s v="Latino"/>
    <n v="62"/>
    <x v="1"/>
    <x v="470"/>
    <n v="234594"/>
    <x v="1"/>
    <x v="11"/>
    <x v="140"/>
    <s v=""/>
  </r>
  <r>
    <s v="E03356"/>
    <s v="Aiden Bryant"/>
    <x v="17"/>
    <x v="1"/>
    <x v="2"/>
    <x v="0"/>
    <s v="Black"/>
    <n v="47"/>
    <x v="0"/>
    <x v="471"/>
    <n v="70122"/>
    <x v="11"/>
    <x v="11"/>
    <x v="137"/>
    <s v=""/>
  </r>
  <r>
    <s v="E04331"/>
    <s v="Brooklyn Daniels"/>
    <x v="21"/>
    <x v="4"/>
    <x v="3"/>
    <x v="1"/>
    <s v="Caucasian"/>
    <n v="64"/>
    <x v="1"/>
    <x v="472"/>
    <n v="57032"/>
    <x v="7"/>
    <x v="11"/>
    <x v="133"/>
    <s v=""/>
  </r>
  <r>
    <s v="E03348"/>
    <s v="Asher Jackson"/>
    <x v="10"/>
    <x v="1"/>
    <x v="3"/>
    <x v="0"/>
    <s v="Caucasian"/>
    <n v="50"/>
    <x v="0"/>
    <x v="473"/>
    <n v="123405"/>
    <x v="9"/>
    <x v="11"/>
    <x v="137"/>
    <s v=""/>
  </r>
  <r>
    <s v="E04332"/>
    <s v="Anna Gutierrez"/>
    <x v="1"/>
    <x v="0"/>
    <x v="0"/>
    <x v="1"/>
    <s v="Latino"/>
    <n v="59"/>
    <x v="0"/>
    <x v="474"/>
    <n v="150699"/>
    <x v="11"/>
    <x v="12"/>
    <x v="134"/>
    <s v=""/>
  </r>
  <r>
    <s v="E04333"/>
    <s v="Wesley Gray"/>
    <x v="4"/>
    <x v="6"/>
    <x v="3"/>
    <x v="0"/>
    <s v="Caucasian"/>
    <n v="62"/>
    <x v="1"/>
    <x v="475"/>
    <n v="76906"/>
    <x v="3"/>
    <x v="11"/>
    <x v="140"/>
    <s v=""/>
  </r>
  <r>
    <s v="E03340"/>
    <s v="Thomas Padilla"/>
    <x v="12"/>
    <x v="4"/>
    <x v="0"/>
    <x v="0"/>
    <s v="Latino"/>
    <n v="57"/>
    <x v="0"/>
    <x v="476"/>
    <n v="206624"/>
    <x v="7"/>
    <x v="12"/>
    <x v="134"/>
    <s v=""/>
  </r>
  <r>
    <s v="E04334"/>
    <s v="Wesley Adams"/>
    <x v="13"/>
    <x v="2"/>
    <x v="1"/>
    <x v="0"/>
    <s v="Caucasian"/>
    <n v="48"/>
    <x v="0"/>
    <x v="477"/>
    <n v="93017"/>
    <x v="7"/>
    <x v="11"/>
    <x v="140"/>
    <s v=""/>
  </r>
  <r>
    <s v="E04335"/>
    <s v="Joshua Martin"/>
    <x v="10"/>
    <x v="3"/>
    <x v="0"/>
    <x v="0"/>
    <s v="Black"/>
    <n v="42"/>
    <x v="2"/>
    <x v="478"/>
    <n v="135558"/>
    <x v="0"/>
    <x v="11"/>
    <x v="132"/>
    <s v=""/>
  </r>
  <r>
    <s v="E03332"/>
    <s v="Camila Silva"/>
    <x v="10"/>
    <x v="4"/>
    <x v="3"/>
    <x v="1"/>
    <s v="Latino"/>
    <n v="64"/>
    <x v="1"/>
    <x v="479"/>
    <n v="154828"/>
    <x v="6"/>
    <x v="11"/>
    <x v="140"/>
    <s v=""/>
  </r>
  <r>
    <s v="E04336"/>
    <s v="Hadley Guerrero"/>
    <x v="10"/>
    <x v="2"/>
    <x v="0"/>
    <x v="1"/>
    <s v="Latino"/>
    <n v="49"/>
    <x v="0"/>
    <x v="480"/>
    <n v="125086"/>
    <x v="0"/>
    <x v="12"/>
    <x v="134"/>
    <s v=""/>
  </r>
  <r>
    <s v="E03328"/>
    <s v="John Vega"/>
    <x v="12"/>
    <x v="5"/>
    <x v="1"/>
    <x v="0"/>
    <s v="Latino"/>
    <n v="50"/>
    <x v="0"/>
    <x v="481"/>
    <n v="247939"/>
    <x v="11"/>
    <x v="12"/>
    <x v="139"/>
    <s v=""/>
  </r>
  <r>
    <s v="E04337"/>
    <s v="William Phillips"/>
    <x v="20"/>
    <x v="2"/>
    <x v="1"/>
    <x v="0"/>
    <s v="Black"/>
    <n v="61"/>
    <x v="1"/>
    <x v="482"/>
    <n v="88478"/>
    <x v="8"/>
    <x v="11"/>
    <x v="136"/>
    <s v=""/>
  </r>
  <r>
    <s v="E03324"/>
    <s v="David Owens"/>
    <x v="4"/>
    <x v="1"/>
    <x v="1"/>
    <x v="0"/>
    <s v="Black"/>
    <n v="43"/>
    <x v="2"/>
    <x v="483"/>
    <n v="94246"/>
    <x v="7"/>
    <x v="11"/>
    <x v="136"/>
    <s v=""/>
  </r>
  <r>
    <s v="E04339"/>
    <s v="Leah Bryant"/>
    <x v="18"/>
    <x v="2"/>
    <x v="2"/>
    <x v="1"/>
    <s v="Caucasian"/>
    <n v="55"/>
    <x v="0"/>
    <x v="484"/>
    <n v="40124"/>
    <x v="6"/>
    <x v="11"/>
    <x v="136"/>
    <s v=""/>
  </r>
  <r>
    <s v="E03316"/>
    <s v="Dominic Guzman"/>
    <x v="21"/>
    <x v="5"/>
    <x v="2"/>
    <x v="0"/>
    <s v="Latino"/>
    <n v="65"/>
    <x v="1"/>
    <x v="485"/>
    <n v="55499"/>
    <x v="3"/>
    <x v="12"/>
    <x v="138"/>
    <s v=""/>
  </r>
  <r>
    <s v="E04340"/>
    <s v="Zoe Rodriguez"/>
    <x v="1"/>
    <x v="3"/>
    <x v="3"/>
    <x v="1"/>
    <s v="Latino"/>
    <n v="65"/>
    <x v="1"/>
    <x v="486"/>
    <n v="153938"/>
    <x v="5"/>
    <x v="11"/>
    <x v="132"/>
    <s v=""/>
  </r>
  <r>
    <s v="E03312"/>
    <s v="Victoria Johnson"/>
    <x v="10"/>
    <x v="6"/>
    <x v="1"/>
    <x v="1"/>
    <s v="Caucasian"/>
    <n v="55"/>
    <x v="0"/>
    <x v="487"/>
    <n v="159885"/>
    <x v="9"/>
    <x v="11"/>
    <x v="137"/>
    <s v=""/>
  </r>
  <r>
    <s v="E04341"/>
    <s v="Chloe Allen"/>
    <x v="31"/>
    <x v="2"/>
    <x v="2"/>
    <x v="1"/>
    <s v="Caucasian"/>
    <n v="64"/>
    <x v="1"/>
    <x v="488"/>
    <n v="77903"/>
    <x v="3"/>
    <x v="11"/>
    <x v="140"/>
    <s v=""/>
  </r>
  <r>
    <s v="E04342"/>
    <s v="Ava Ortiz"/>
    <x v="26"/>
    <x v="2"/>
    <x v="2"/>
    <x v="1"/>
    <s v="Latino"/>
    <n v="53"/>
    <x v="0"/>
    <x v="489"/>
    <n v="65702"/>
    <x v="2"/>
    <x v="11"/>
    <x v="137"/>
    <s v=""/>
  </r>
  <r>
    <s v="E04343"/>
    <s v="Peyton Garza"/>
    <x v="15"/>
    <x v="2"/>
    <x v="2"/>
    <x v="1"/>
    <s v="Latino"/>
    <n v="53"/>
    <x v="0"/>
    <x v="490"/>
    <n v="44735"/>
    <x v="9"/>
    <x v="12"/>
    <x v="138"/>
    <s v=""/>
  </r>
  <r>
    <s v="E04344"/>
    <s v="Caroline Herrera"/>
    <x v="10"/>
    <x v="4"/>
    <x v="2"/>
    <x v="1"/>
    <s v="Latino"/>
    <n v="45"/>
    <x v="2"/>
    <x v="491"/>
    <n v="121065"/>
    <x v="8"/>
    <x v="12"/>
    <x v="139"/>
    <s v=""/>
  </r>
  <r>
    <s v="E03296"/>
    <s v="Cameron Powell"/>
    <x v="11"/>
    <x v="3"/>
    <x v="2"/>
    <x v="0"/>
    <s v="Black"/>
    <n v="41"/>
    <x v="2"/>
    <x v="492"/>
    <n v="49186"/>
    <x v="7"/>
    <x v="11"/>
    <x v="136"/>
    <d v="2008-06-17T00:00:00"/>
  </r>
  <r>
    <s v="E03292"/>
    <s v="Mason Watson"/>
    <x v="10"/>
    <x v="2"/>
    <x v="1"/>
    <x v="0"/>
    <s v="Caucasian"/>
    <n v="46"/>
    <x v="0"/>
    <x v="493"/>
    <n v="130274"/>
    <x v="12"/>
    <x v="11"/>
    <x v="135"/>
    <s v=""/>
  </r>
  <r>
    <s v="E04346"/>
    <s v="Robert Edwards"/>
    <x v="28"/>
    <x v="3"/>
    <x v="1"/>
    <x v="0"/>
    <s v="Caucasian"/>
    <n v="62"/>
    <x v="1"/>
    <x v="494"/>
    <n v="50825"/>
    <x v="2"/>
    <x v="11"/>
    <x v="140"/>
    <s v=""/>
  </r>
  <r>
    <s v="E03288"/>
    <s v="Eva Jenkins"/>
    <x v="10"/>
    <x v="3"/>
    <x v="2"/>
    <x v="1"/>
    <s v="Black"/>
    <n v="55"/>
    <x v="0"/>
    <x v="495"/>
    <n v="142318"/>
    <x v="10"/>
    <x v="11"/>
    <x v="135"/>
    <s v=""/>
  </r>
  <r>
    <s v="E04347"/>
    <s v="Jack Brown"/>
    <x v="21"/>
    <x v="4"/>
    <x v="1"/>
    <x v="0"/>
    <s v="Caucasian"/>
    <n v="55"/>
    <x v="0"/>
    <x v="496"/>
    <n v="40752"/>
    <x v="4"/>
    <x v="11"/>
    <x v="132"/>
    <s v=""/>
  </r>
  <r>
    <s v="E03284"/>
    <s v="Zoe Sanchez"/>
    <x v="4"/>
    <x v="6"/>
    <x v="0"/>
    <x v="1"/>
    <s v="Latino"/>
    <n v="53"/>
    <x v="0"/>
    <x v="497"/>
    <n v="90212"/>
    <x v="11"/>
    <x v="12"/>
    <x v="134"/>
    <s v=""/>
  </r>
  <r>
    <s v="E04348"/>
    <s v="Abigail Mejia"/>
    <x v="22"/>
    <x v="0"/>
    <x v="1"/>
    <x v="1"/>
    <s v="Latino"/>
    <n v="56"/>
    <x v="0"/>
    <x v="498"/>
    <n v="98581"/>
    <x v="4"/>
    <x v="12"/>
    <x v="139"/>
    <s v=""/>
  </r>
  <r>
    <s v="E03280"/>
    <s v="Parker James"/>
    <x v="22"/>
    <x v="0"/>
    <x v="3"/>
    <x v="0"/>
    <s v="Black"/>
    <n v="45"/>
    <x v="2"/>
    <x v="498"/>
    <n v="70505"/>
    <x v="7"/>
    <x v="11"/>
    <x v="136"/>
    <s v=""/>
  </r>
  <r>
    <s v="E04349"/>
    <s v="Eleanor Williams"/>
    <x v="26"/>
    <x v="2"/>
    <x v="3"/>
    <x v="1"/>
    <s v="Caucasian"/>
    <n v="61"/>
    <x v="1"/>
    <x v="499"/>
    <n v="64462"/>
    <x v="1"/>
    <x v="11"/>
    <x v="135"/>
    <s v=""/>
  </r>
  <r>
    <s v="E03276"/>
    <s v="Hadley Ford"/>
    <x v="15"/>
    <x v="2"/>
    <x v="0"/>
    <x v="1"/>
    <s v="Caucasian"/>
    <n v="52"/>
    <x v="0"/>
    <x v="500"/>
    <n v="45286"/>
    <x v="11"/>
    <x v="11"/>
    <x v="135"/>
    <s v=""/>
  </r>
  <r>
    <s v="E04350"/>
    <s v="Henry Alvarez"/>
    <x v="6"/>
    <x v="3"/>
    <x v="2"/>
    <x v="0"/>
    <s v="Latino"/>
    <n v="48"/>
    <x v="0"/>
    <x v="501"/>
    <n v="87158"/>
    <x v="2"/>
    <x v="12"/>
    <x v="138"/>
    <s v=""/>
  </r>
  <r>
    <s v="E03272"/>
    <s v="Axel Soto"/>
    <x v="22"/>
    <x v="0"/>
    <x v="1"/>
    <x v="0"/>
    <s v="Latino"/>
    <n v="46"/>
    <x v="0"/>
    <x v="502"/>
    <n v="96639"/>
    <x v="4"/>
    <x v="12"/>
    <x v="139"/>
    <s v=""/>
  </r>
  <r>
    <s v="E04351"/>
    <s v="Isaac Mitchell"/>
    <x v="20"/>
    <x v="2"/>
    <x v="3"/>
    <x v="0"/>
    <s v="Black"/>
    <n v="46"/>
    <x v="0"/>
    <x v="503"/>
    <n v="67374"/>
    <x v="8"/>
    <x v="11"/>
    <x v="136"/>
    <s v=""/>
  </r>
  <r>
    <s v="E04352"/>
    <s v="Carter Reed"/>
    <x v="29"/>
    <x v="0"/>
    <x v="2"/>
    <x v="0"/>
    <s v="Black"/>
    <n v="40"/>
    <x v="2"/>
    <x v="504"/>
    <n v="74412"/>
    <x v="7"/>
    <x v="11"/>
    <x v="140"/>
    <s v=""/>
  </r>
  <r>
    <s v="E03264"/>
    <s v="Benjamin Ramirez"/>
    <x v="19"/>
    <x v="2"/>
    <x v="0"/>
    <x v="0"/>
    <s v="Latino"/>
    <n v="48"/>
    <x v="0"/>
    <x v="505"/>
    <n v="68987"/>
    <x v="6"/>
    <x v="11"/>
    <x v="135"/>
    <d v="2006-04-22T00:00:00"/>
  </r>
  <r>
    <s v="E04353"/>
    <s v="Logan Mitchell"/>
    <x v="16"/>
    <x v="4"/>
    <x v="2"/>
    <x v="0"/>
    <s v="Caucasian"/>
    <n v="65"/>
    <x v="1"/>
    <x v="506"/>
    <n v="59833"/>
    <x v="9"/>
    <x v="11"/>
    <x v="137"/>
    <s v=""/>
  </r>
  <r>
    <s v="E04354"/>
    <s v="Dominic Thomas"/>
    <x v="16"/>
    <x v="4"/>
    <x v="2"/>
    <x v="0"/>
    <s v="Caucasian"/>
    <n v="48"/>
    <x v="0"/>
    <x v="507"/>
    <n v="74655"/>
    <x v="12"/>
    <x v="11"/>
    <x v="136"/>
    <s v=""/>
  </r>
  <r>
    <s v="E03256"/>
    <s v="Melody Grant"/>
    <x v="22"/>
    <x v="0"/>
    <x v="1"/>
    <x v="1"/>
    <s v="Caucasian"/>
    <n v="41"/>
    <x v="2"/>
    <x v="508"/>
    <n v="79352"/>
    <x v="3"/>
    <x v="11"/>
    <x v="140"/>
    <s v=""/>
  </r>
  <r>
    <s v="E04355"/>
    <s v="Kennedy Vargas"/>
    <x v="11"/>
    <x v="3"/>
    <x v="2"/>
    <x v="1"/>
    <s v="Latino"/>
    <n v="45"/>
    <x v="2"/>
    <x v="509"/>
    <n v="51404"/>
    <x v="9"/>
    <x v="12"/>
    <x v="138"/>
    <d v="2009-12-06T00:00:00"/>
  </r>
  <r>
    <s v="E03252"/>
    <s v="Sofia Fernandez"/>
    <x v="7"/>
    <x v="6"/>
    <x v="2"/>
    <x v="1"/>
    <s v="Latino"/>
    <n v="44"/>
    <x v="2"/>
    <x v="510"/>
    <n v="105223"/>
    <x v="10"/>
    <x v="11"/>
    <x v="132"/>
    <s v=""/>
  </r>
  <r>
    <s v="E04356"/>
    <s v="John Moore"/>
    <x v="12"/>
    <x v="2"/>
    <x v="3"/>
    <x v="0"/>
    <s v="Caucasian"/>
    <n v="52"/>
    <x v="0"/>
    <x v="511"/>
    <n v="199808"/>
    <x v="5"/>
    <x v="11"/>
    <x v="140"/>
    <s v=""/>
  </r>
  <r>
    <s v="E03248"/>
    <s v="Parker Avila"/>
    <x v="16"/>
    <x v="4"/>
    <x v="2"/>
    <x v="0"/>
    <s v="Latino"/>
    <n v="47"/>
    <x v="0"/>
    <x v="512"/>
    <n v="62749"/>
    <x v="11"/>
    <x v="12"/>
    <x v="138"/>
    <s v=""/>
  </r>
  <r>
    <s v="E04357"/>
    <s v="Stella Alexander"/>
    <x v="33"/>
    <x v="0"/>
    <x v="1"/>
    <x v="1"/>
    <s v="Caucasian"/>
    <n v="52"/>
    <x v="0"/>
    <x v="513"/>
    <n v="102043"/>
    <x v="5"/>
    <x v="11"/>
    <x v="135"/>
    <s v=""/>
  </r>
  <r>
    <s v="E03244"/>
    <s v="Cooper Mitchell"/>
    <x v="7"/>
    <x v="1"/>
    <x v="3"/>
    <x v="0"/>
    <s v="Caucasian"/>
    <n v="43"/>
    <x v="2"/>
    <x v="514"/>
    <n v="117518"/>
    <x v="11"/>
    <x v="11"/>
    <x v="140"/>
    <s v=""/>
  </r>
  <r>
    <s v="E04358"/>
    <s v="Gabriella Johnson"/>
    <x v="27"/>
    <x v="2"/>
    <x v="0"/>
    <x v="1"/>
    <s v="Caucasian"/>
    <n v="42"/>
    <x v="2"/>
    <x v="515"/>
    <n v="97433"/>
    <x v="2"/>
    <x v="11"/>
    <x v="140"/>
    <d v="2015-08-08T00:00:00"/>
  </r>
  <r>
    <s v="E03240"/>
    <s v="Athena Carrillo"/>
    <x v="16"/>
    <x v="5"/>
    <x v="3"/>
    <x v="1"/>
    <s v="Latino"/>
    <n v="39"/>
    <x v="2"/>
    <x v="516"/>
    <n v="71531"/>
    <x v="5"/>
    <x v="11"/>
    <x v="137"/>
    <s v=""/>
  </r>
  <r>
    <s v="E04359"/>
    <s v="Jeremiah Castillo"/>
    <x v="16"/>
    <x v="6"/>
    <x v="0"/>
    <x v="0"/>
    <s v="Latino"/>
    <n v="58"/>
    <x v="0"/>
    <x v="517"/>
    <n v="64202"/>
    <x v="2"/>
    <x v="11"/>
    <x v="137"/>
    <s v=""/>
  </r>
  <r>
    <s v="E04360"/>
    <s v="Madeline Coleman"/>
    <x v="10"/>
    <x v="5"/>
    <x v="0"/>
    <x v="1"/>
    <s v="Caucasian"/>
    <n v="51"/>
    <x v="0"/>
    <x v="518"/>
    <n v="150758"/>
    <x v="11"/>
    <x v="11"/>
    <x v="135"/>
    <d v="2007-08-16T00:00:00"/>
  </r>
  <r>
    <s v="E03232"/>
    <s v="Jack Alexander"/>
    <x v="12"/>
    <x v="2"/>
    <x v="2"/>
    <x v="0"/>
    <s v="Caucasian"/>
    <n v="56"/>
    <x v="0"/>
    <x v="519"/>
    <n v="228822"/>
    <x v="8"/>
    <x v="11"/>
    <x v="133"/>
    <s v=""/>
  </r>
  <r>
    <s v="E04361"/>
    <s v="Samantha Vargas"/>
    <x v="1"/>
    <x v="3"/>
    <x v="1"/>
    <x v="1"/>
    <s v="Latino"/>
    <n v="53"/>
    <x v="0"/>
    <x v="520"/>
    <n v="151246"/>
    <x v="3"/>
    <x v="12"/>
    <x v="134"/>
    <s v=""/>
  </r>
  <r>
    <s v="E03228"/>
    <s v="Ava Ayala"/>
    <x v="10"/>
    <x v="2"/>
    <x v="1"/>
    <x v="1"/>
    <s v="Latino"/>
    <n v="55"/>
    <x v="0"/>
    <x v="521"/>
    <n v="159044"/>
    <x v="2"/>
    <x v="12"/>
    <x v="138"/>
    <s v=""/>
  </r>
  <r>
    <s v="E04362"/>
    <s v="Hannah Martinez"/>
    <x v="7"/>
    <x v="4"/>
    <x v="2"/>
    <x v="1"/>
    <s v="Latino"/>
    <n v="65"/>
    <x v="1"/>
    <x v="522"/>
    <n v="127626"/>
    <x v="3"/>
    <x v="11"/>
    <x v="133"/>
    <s v=""/>
  </r>
  <r>
    <s v="E03224"/>
    <s v="Austin Edwards"/>
    <x v="18"/>
    <x v="2"/>
    <x v="2"/>
    <x v="0"/>
    <s v="Black"/>
    <n v="42"/>
    <x v="2"/>
    <x v="523"/>
    <n v="52733"/>
    <x v="6"/>
    <x v="11"/>
    <x v="135"/>
    <s v=""/>
  </r>
  <r>
    <s v="E04363"/>
    <s v="Dylan Wilson"/>
    <x v="30"/>
    <x v="2"/>
    <x v="0"/>
    <x v="0"/>
    <s v="Caucasian"/>
    <n v="48"/>
    <x v="0"/>
    <x v="524"/>
    <n v="76505"/>
    <x v="11"/>
    <x v="11"/>
    <x v="140"/>
    <d v="2007-04-08T00:00:00"/>
  </r>
  <r>
    <s v="E03220"/>
    <s v="Vivian Espinoza"/>
    <x v="10"/>
    <x v="1"/>
    <x v="1"/>
    <x v="1"/>
    <s v="Latino"/>
    <n v="52"/>
    <x v="0"/>
    <x v="525"/>
    <n v="147966"/>
    <x v="1"/>
    <x v="12"/>
    <x v="139"/>
    <d v="2019-05-23T00:00:00"/>
  </r>
  <r>
    <s v="E04364"/>
    <s v="Natalia Diaz"/>
    <x v="9"/>
    <x v="0"/>
    <x v="1"/>
    <x v="1"/>
    <s v="Latino"/>
    <n v="62"/>
    <x v="1"/>
    <x v="526"/>
    <n v="79785"/>
    <x v="8"/>
    <x v="11"/>
    <x v="136"/>
    <s v=""/>
  </r>
  <r>
    <s v="E03216"/>
    <s v="Luna Sanders"/>
    <x v="1"/>
    <x v="5"/>
    <x v="3"/>
    <x v="1"/>
    <s v="Caucasian"/>
    <n v="50"/>
    <x v="0"/>
    <x v="527"/>
    <n v="163099"/>
    <x v="5"/>
    <x v="11"/>
    <x v="135"/>
    <s v=""/>
  </r>
  <r>
    <s v="E04365"/>
    <s v="Gabriel Joseph"/>
    <x v="1"/>
    <x v="0"/>
    <x v="2"/>
    <x v="0"/>
    <s v="Caucasian"/>
    <n v="52"/>
    <x v="0"/>
    <x v="528"/>
    <n v="187992"/>
    <x v="1"/>
    <x v="11"/>
    <x v="133"/>
    <s v=""/>
  </r>
  <r>
    <s v="E03212"/>
    <s v="Nathan Mendez"/>
    <x v="7"/>
    <x v="2"/>
    <x v="3"/>
    <x v="0"/>
    <s v="Latino"/>
    <n v="53"/>
    <x v="0"/>
    <x v="529"/>
    <n v="120128"/>
    <x v="4"/>
    <x v="11"/>
    <x v="136"/>
    <s v=""/>
  </r>
  <r>
    <s v="E04366"/>
    <s v="Nova Coleman"/>
    <x v="13"/>
    <x v="2"/>
    <x v="2"/>
    <x v="1"/>
    <s v="Caucasian"/>
    <n v="44"/>
    <x v="2"/>
    <x v="530"/>
    <n v="74738"/>
    <x v="2"/>
    <x v="11"/>
    <x v="133"/>
    <s v=""/>
  </r>
  <r>
    <s v="E03208"/>
    <s v="Nora Nelson"/>
    <x v="16"/>
    <x v="5"/>
    <x v="2"/>
    <x v="1"/>
    <s v="Caucasian"/>
    <n v="41"/>
    <x v="2"/>
    <x v="107"/>
    <n v="50685"/>
    <x v="4"/>
    <x v="11"/>
    <x v="137"/>
    <s v=""/>
  </r>
  <r>
    <s v="E04367"/>
    <s v="Liam Sanders"/>
    <x v="6"/>
    <x v="3"/>
    <x v="1"/>
    <x v="0"/>
    <s v="Caucasian"/>
    <n v="46"/>
    <x v="0"/>
    <x v="531"/>
    <n v="75579"/>
    <x v="5"/>
    <x v="11"/>
    <x v="140"/>
    <s v=""/>
  </r>
  <r>
    <s v="E03204"/>
    <s v="Scarlett Rodriguez"/>
    <x v="4"/>
    <x v="5"/>
    <x v="2"/>
    <x v="1"/>
    <s v="Latino"/>
    <n v="60"/>
    <x v="1"/>
    <x v="532"/>
    <n v="71699"/>
    <x v="9"/>
    <x v="12"/>
    <x v="138"/>
    <s v=""/>
  </r>
  <r>
    <s v="E04368"/>
    <s v="Anthony Carter"/>
    <x v="1"/>
    <x v="0"/>
    <x v="3"/>
    <x v="0"/>
    <s v="Caucasian"/>
    <n v="41"/>
    <x v="2"/>
    <x v="533"/>
    <n v="155926"/>
    <x v="5"/>
    <x v="11"/>
    <x v="137"/>
    <d v="2008-05-30T00:00:00"/>
  </r>
  <r>
    <s v="E03200"/>
    <s v="Connor Simmons"/>
    <x v="16"/>
    <x v="6"/>
    <x v="3"/>
    <x v="0"/>
    <s v="Caucasian"/>
    <n v="55"/>
    <x v="0"/>
    <x v="534"/>
    <n v="52310"/>
    <x v="6"/>
    <x v="11"/>
    <x v="133"/>
    <d v="2018-10-12T00:00:00"/>
  </r>
  <r>
    <s v="E04369"/>
    <s v="Nicholas Rivera"/>
    <x v="1"/>
    <x v="0"/>
    <x v="1"/>
    <x v="0"/>
    <s v="Latino"/>
    <n v="45"/>
    <x v="2"/>
    <x v="535"/>
    <n v="189680"/>
    <x v="9"/>
    <x v="12"/>
    <x v="134"/>
    <s v=""/>
  </r>
  <r>
    <s v="E03196"/>
    <s v="Maria Griffin"/>
    <x v="7"/>
    <x v="4"/>
    <x v="2"/>
    <x v="1"/>
    <s v="Caucasian"/>
    <n v="59"/>
    <x v="0"/>
    <x v="536"/>
    <n v="129708"/>
    <x v="0"/>
    <x v="11"/>
    <x v="133"/>
    <s v=""/>
  </r>
  <r>
    <s v="E04370"/>
    <s v="Alice Thompson"/>
    <x v="12"/>
    <x v="6"/>
    <x v="3"/>
    <x v="1"/>
    <s v="Caucasian"/>
    <n v="48"/>
    <x v="0"/>
    <x v="536"/>
    <n v="217783"/>
    <x v="2"/>
    <x v="11"/>
    <x v="140"/>
    <s v=""/>
  </r>
  <r>
    <s v="E03192"/>
    <s v="Riley Washington"/>
    <x v="1"/>
    <x v="1"/>
    <x v="3"/>
    <x v="1"/>
    <s v="Caucasian"/>
    <n v="39"/>
    <x v="2"/>
    <x v="537"/>
    <n v="171487"/>
    <x v="1"/>
    <x v="11"/>
    <x v="132"/>
    <s v=""/>
  </r>
  <r>
    <s v="E04371"/>
    <s v="Maverick Medina"/>
    <x v="16"/>
    <x v="1"/>
    <x v="2"/>
    <x v="0"/>
    <s v="Latino"/>
    <n v="39"/>
    <x v="2"/>
    <x v="538"/>
    <n v="51234"/>
    <x v="6"/>
    <x v="11"/>
    <x v="140"/>
    <s v=""/>
  </r>
  <r>
    <s v="E03188"/>
    <s v="Christian Medina"/>
    <x v="21"/>
    <x v="4"/>
    <x v="1"/>
    <x v="0"/>
    <s v="Latino"/>
    <n v="51"/>
    <x v="0"/>
    <x v="539"/>
    <n v="45206"/>
    <x v="10"/>
    <x v="11"/>
    <x v="137"/>
    <s v=""/>
  </r>
  <r>
    <s v="E04372"/>
    <s v="Austin Brown"/>
    <x v="1"/>
    <x v="4"/>
    <x v="0"/>
    <x v="0"/>
    <s v="Caucasian"/>
    <n v="48"/>
    <x v="0"/>
    <x v="540"/>
    <n v="194723"/>
    <x v="2"/>
    <x v="11"/>
    <x v="132"/>
    <s v=""/>
  </r>
  <r>
    <s v="E03184"/>
    <s v="Joshua Cortez"/>
    <x v="10"/>
    <x v="5"/>
    <x v="1"/>
    <x v="0"/>
    <s v="Latino"/>
    <n v="44"/>
    <x v="2"/>
    <x v="541"/>
    <n v="126277"/>
    <x v="0"/>
    <x v="12"/>
    <x v="138"/>
    <s v=""/>
  </r>
  <r>
    <s v="E04373"/>
    <s v="Roman King"/>
    <x v="16"/>
    <x v="5"/>
    <x v="1"/>
    <x v="0"/>
    <s v="Caucasian"/>
    <n v="60"/>
    <x v="1"/>
    <x v="542"/>
    <n v="58671"/>
    <x v="3"/>
    <x v="11"/>
    <x v="137"/>
    <s v=""/>
  </r>
  <r>
    <s v="E03180"/>
    <s v="Joshua Ramirez"/>
    <x v="12"/>
    <x v="3"/>
    <x v="1"/>
    <x v="0"/>
    <s v="Latino"/>
    <n v="44"/>
    <x v="2"/>
    <x v="543"/>
    <n v="181247"/>
    <x v="6"/>
    <x v="12"/>
    <x v="134"/>
    <s v=""/>
  </r>
  <r>
    <s v="E04374"/>
    <s v="Paisley Gomez"/>
    <x v="4"/>
    <x v="1"/>
    <x v="2"/>
    <x v="1"/>
    <s v="Latino"/>
    <n v="57"/>
    <x v="0"/>
    <x v="544"/>
    <n v="98150"/>
    <x v="4"/>
    <x v="12"/>
    <x v="139"/>
    <s v=""/>
  </r>
  <r>
    <s v="E03176"/>
    <s v="Christopher Vega"/>
    <x v="0"/>
    <x v="0"/>
    <x v="0"/>
    <x v="0"/>
    <s v="Latino"/>
    <n v="54"/>
    <x v="0"/>
    <x v="545"/>
    <n v="106313"/>
    <x v="4"/>
    <x v="11"/>
    <x v="135"/>
    <s v=""/>
  </r>
  <r>
    <s v="E04375"/>
    <s v="Mila Pena"/>
    <x v="6"/>
    <x v="3"/>
    <x v="2"/>
    <x v="1"/>
    <s v="Latino"/>
    <n v="45"/>
    <x v="2"/>
    <x v="546"/>
    <n v="93840"/>
    <x v="5"/>
    <x v="12"/>
    <x v="138"/>
    <s v=""/>
  </r>
  <r>
    <s v="E03172"/>
    <s v="Alice Young"/>
    <x v="33"/>
    <x v="0"/>
    <x v="0"/>
    <x v="1"/>
    <s v="Caucasian"/>
    <n v="46"/>
    <x v="0"/>
    <x v="547"/>
    <n v="91621"/>
    <x v="11"/>
    <x v="11"/>
    <x v="135"/>
    <s v=""/>
  </r>
  <r>
    <s v="E04376"/>
    <s v="Piper Richardson"/>
    <x v="4"/>
    <x v="1"/>
    <x v="1"/>
    <x v="1"/>
    <s v="Caucasian"/>
    <n v="38"/>
    <x v="2"/>
    <x v="548"/>
    <n v="80024"/>
    <x v="3"/>
    <x v="11"/>
    <x v="137"/>
    <s v=""/>
  </r>
  <r>
    <s v="E03164"/>
    <s v="Jameson Martin"/>
    <x v="2"/>
    <x v="2"/>
    <x v="1"/>
    <x v="0"/>
    <s v="Caucasian"/>
    <n v="37"/>
    <x v="2"/>
    <x v="549"/>
    <n v="71695"/>
    <x v="6"/>
    <x v="11"/>
    <x v="132"/>
    <s v=""/>
  </r>
  <r>
    <s v="E04378"/>
    <s v="Jose Molina"/>
    <x v="14"/>
    <x v="0"/>
    <x v="2"/>
    <x v="0"/>
    <s v="Latino"/>
    <n v="40"/>
    <x v="2"/>
    <x v="550"/>
    <n v="113987"/>
    <x v="3"/>
    <x v="12"/>
    <x v="138"/>
    <s v=""/>
  </r>
  <r>
    <s v="E03160"/>
    <s v="Kinsley Henry"/>
    <x v="1"/>
    <x v="4"/>
    <x v="2"/>
    <x v="1"/>
    <s v="Black"/>
    <n v="45"/>
    <x v="2"/>
    <x v="551"/>
    <n v="150577"/>
    <x v="2"/>
    <x v="11"/>
    <x v="133"/>
    <s v=""/>
  </r>
  <r>
    <s v="E04379"/>
    <s v="Grace Campos"/>
    <x v="1"/>
    <x v="0"/>
    <x v="0"/>
    <x v="1"/>
    <s v="Latino"/>
    <n v="37"/>
    <x v="2"/>
    <x v="552"/>
    <n v="156277"/>
    <x v="12"/>
    <x v="12"/>
    <x v="138"/>
    <s v=""/>
  </r>
  <r>
    <s v="E03156"/>
    <s v="Emma Luna"/>
    <x v="3"/>
    <x v="0"/>
    <x v="3"/>
    <x v="1"/>
    <s v="Latino"/>
    <n v="52"/>
    <x v="0"/>
    <x v="553"/>
    <n v="97398"/>
    <x v="6"/>
    <x v="12"/>
    <x v="138"/>
    <s v=""/>
  </r>
  <r>
    <s v="E04380"/>
    <s v="Jack Edwards"/>
    <x v="7"/>
    <x v="4"/>
    <x v="2"/>
    <x v="0"/>
    <s v="Caucasian"/>
    <n v="38"/>
    <x v="2"/>
    <x v="554"/>
    <n v="126856"/>
    <x v="0"/>
    <x v="11"/>
    <x v="137"/>
    <s v=""/>
  </r>
  <r>
    <s v="E04381"/>
    <s v="Silas Chavez"/>
    <x v="2"/>
    <x v="2"/>
    <x v="0"/>
    <x v="0"/>
    <s v="Latino"/>
    <n v="51"/>
    <x v="0"/>
    <x v="555"/>
    <n v="86431"/>
    <x v="0"/>
    <x v="11"/>
    <x v="137"/>
    <s v=""/>
  </r>
  <r>
    <s v="E03148"/>
    <s v="Ian Cortez"/>
    <x v="16"/>
    <x v="4"/>
    <x v="0"/>
    <x v="0"/>
    <s v="Latino"/>
    <n v="61"/>
    <x v="1"/>
    <x v="124"/>
    <n v="69352"/>
    <x v="11"/>
    <x v="12"/>
    <x v="139"/>
    <s v=""/>
  </r>
  <r>
    <s v="E04382"/>
    <s v="Landon Lopez"/>
    <x v="4"/>
    <x v="6"/>
    <x v="2"/>
    <x v="0"/>
    <s v="Latino"/>
    <n v="38"/>
    <x v="2"/>
    <x v="556"/>
    <n v="78056"/>
    <x v="9"/>
    <x v="12"/>
    <x v="134"/>
    <s v=""/>
  </r>
  <r>
    <s v="E03144"/>
    <s v="Maverick Figueroa"/>
    <x v="23"/>
    <x v="2"/>
    <x v="1"/>
    <x v="0"/>
    <s v="Latino"/>
    <n v="48"/>
    <x v="0"/>
    <x v="557"/>
    <n v="94815"/>
    <x v="1"/>
    <x v="11"/>
    <x v="135"/>
    <s v=""/>
  </r>
  <r>
    <s v="E04383"/>
    <s v="Angel Powell"/>
    <x v="16"/>
    <x v="1"/>
    <x v="0"/>
    <x v="0"/>
    <s v="Caucasian"/>
    <n v="61"/>
    <x v="1"/>
    <x v="558"/>
    <n v="66521"/>
    <x v="1"/>
    <x v="11"/>
    <x v="140"/>
    <s v=""/>
  </r>
  <r>
    <s v="E04384"/>
    <s v="Zoey Jackson"/>
    <x v="11"/>
    <x v="3"/>
    <x v="2"/>
    <x v="1"/>
    <s v="Black"/>
    <n v="46"/>
    <x v="0"/>
    <x v="559"/>
    <n v="59067"/>
    <x v="12"/>
    <x v="11"/>
    <x v="133"/>
    <s v=""/>
  </r>
  <r>
    <s v="E03136"/>
    <s v="Lincoln Ramos"/>
    <x v="9"/>
    <x v="0"/>
    <x v="1"/>
    <x v="0"/>
    <s v="Latino"/>
    <n v="59"/>
    <x v="0"/>
    <x v="560"/>
    <n v="96313"/>
    <x v="11"/>
    <x v="11"/>
    <x v="136"/>
    <s v=""/>
  </r>
  <r>
    <s v="E04385"/>
    <s v="Aaron Maldonado"/>
    <x v="16"/>
    <x v="5"/>
    <x v="2"/>
    <x v="0"/>
    <s v="Latino"/>
    <n v="39"/>
    <x v="2"/>
    <x v="561"/>
    <n v="62861"/>
    <x v="9"/>
    <x v="11"/>
    <x v="140"/>
    <s v=""/>
  </r>
  <r>
    <s v="E03132"/>
    <s v="Mila Soto"/>
    <x v="1"/>
    <x v="5"/>
    <x v="0"/>
    <x v="1"/>
    <s v="Latino"/>
    <n v="65"/>
    <x v="1"/>
    <x v="562"/>
    <n v="170221"/>
    <x v="7"/>
    <x v="12"/>
    <x v="138"/>
    <s v=""/>
  </r>
  <r>
    <s v="E04386"/>
    <s v="Julia Morris"/>
    <x v="10"/>
    <x v="3"/>
    <x v="1"/>
    <x v="1"/>
    <s v="Caucasian"/>
    <n v="60"/>
    <x v="1"/>
    <x v="563"/>
    <n v="150855"/>
    <x v="3"/>
    <x v="11"/>
    <x v="132"/>
    <s v=""/>
  </r>
  <r>
    <s v="E03128"/>
    <s v="Ivy Daniels"/>
    <x v="10"/>
    <x v="3"/>
    <x v="3"/>
    <x v="1"/>
    <s v="Caucasian"/>
    <n v="41"/>
    <x v="2"/>
    <x v="564"/>
    <n v="131841"/>
    <x v="7"/>
    <x v="11"/>
    <x v="137"/>
    <s v=""/>
  </r>
  <r>
    <s v="E04387"/>
    <s v="Skylar Carrillo"/>
    <x v="0"/>
    <x v="0"/>
    <x v="1"/>
    <x v="1"/>
    <s v="Latino"/>
    <n v="44"/>
    <x v="2"/>
    <x v="565"/>
    <n v="92753"/>
    <x v="8"/>
    <x v="11"/>
    <x v="136"/>
    <d v="2021-06-24T00:00:00"/>
  </r>
  <r>
    <s v="E03124"/>
    <s v="Xavier Davis"/>
    <x v="12"/>
    <x v="5"/>
    <x v="1"/>
    <x v="0"/>
    <s v="Caucasian"/>
    <n v="36"/>
    <x v="2"/>
    <x v="566"/>
    <n v="238236"/>
    <x v="8"/>
    <x v="11"/>
    <x v="140"/>
    <s v=""/>
  </r>
  <r>
    <s v="E04388"/>
    <s v="Hannah White"/>
    <x v="10"/>
    <x v="6"/>
    <x v="1"/>
    <x v="1"/>
    <s v="Caucasian"/>
    <n v="62"/>
    <x v="1"/>
    <x v="567"/>
    <n v="150555"/>
    <x v="7"/>
    <x v="11"/>
    <x v="132"/>
    <s v=""/>
  </r>
  <r>
    <s v="E04389"/>
    <s v="Lillian Gonzales"/>
    <x v="8"/>
    <x v="2"/>
    <x v="2"/>
    <x v="1"/>
    <s v="Latino"/>
    <n v="43"/>
    <x v="2"/>
    <x v="568"/>
    <n v="62335"/>
    <x v="1"/>
    <x v="12"/>
    <x v="138"/>
    <s v=""/>
  </r>
  <r>
    <s v="E03116"/>
    <s v="Peyton Harris"/>
    <x v="26"/>
    <x v="2"/>
    <x v="0"/>
    <x v="1"/>
    <s v="Caucasian"/>
    <n v="45"/>
    <x v="2"/>
    <x v="569"/>
    <n v="64505"/>
    <x v="8"/>
    <x v="11"/>
    <x v="133"/>
    <s v=""/>
  </r>
  <r>
    <s v="E04390"/>
    <s v="Adam Espinoza"/>
    <x v="32"/>
    <x v="0"/>
    <x v="2"/>
    <x v="0"/>
    <s v="Latino"/>
    <n v="36"/>
    <x v="2"/>
    <x v="570"/>
    <n v="60055"/>
    <x v="4"/>
    <x v="11"/>
    <x v="140"/>
    <s v=""/>
  </r>
  <r>
    <s v="E03112"/>
    <s v="Alexander Rivera"/>
    <x v="4"/>
    <x v="1"/>
    <x v="0"/>
    <x v="0"/>
    <s v="Latino"/>
    <n v="58"/>
    <x v="0"/>
    <x v="571"/>
    <n v="76802"/>
    <x v="2"/>
    <x v="12"/>
    <x v="138"/>
    <s v=""/>
  </r>
  <r>
    <s v="E03108"/>
    <s v="Genesis Navarro"/>
    <x v="8"/>
    <x v="2"/>
    <x v="1"/>
    <x v="1"/>
    <s v="Latino"/>
    <n v="41"/>
    <x v="2"/>
    <x v="572"/>
    <n v="69803"/>
    <x v="9"/>
    <x v="12"/>
    <x v="138"/>
    <s v=""/>
  </r>
  <r>
    <s v="E04392"/>
    <s v="Madeline Watson"/>
    <x v="17"/>
    <x v="1"/>
    <x v="0"/>
    <x v="1"/>
    <s v="Black"/>
    <n v="40"/>
    <x v="2"/>
    <x v="573"/>
    <n v="62411"/>
    <x v="10"/>
    <x v="11"/>
    <x v="133"/>
    <d v="2021-08-14T00:00:00"/>
  </r>
  <r>
    <s v="E03104"/>
    <s v="Skylar Evans"/>
    <x v="1"/>
    <x v="6"/>
    <x v="0"/>
    <x v="1"/>
    <s v="Caucasian"/>
    <n v="42"/>
    <x v="2"/>
    <x v="574"/>
    <n v="174099"/>
    <x v="7"/>
    <x v="11"/>
    <x v="136"/>
    <s v=""/>
  </r>
  <r>
    <s v="E04393"/>
    <s v="Alice Lopez"/>
    <x v="32"/>
    <x v="0"/>
    <x v="3"/>
    <x v="1"/>
    <s v="Latino"/>
    <n v="48"/>
    <x v="0"/>
    <x v="575"/>
    <n v="82907"/>
    <x v="10"/>
    <x v="11"/>
    <x v="140"/>
    <s v=""/>
  </r>
  <r>
    <s v="E03100"/>
    <s v="Allison Ayala"/>
    <x v="21"/>
    <x v="5"/>
    <x v="1"/>
    <x v="1"/>
    <s v="Latino"/>
    <n v="36"/>
    <x v="2"/>
    <x v="576"/>
    <n v="43363"/>
    <x v="2"/>
    <x v="11"/>
    <x v="136"/>
    <s v=""/>
  </r>
  <r>
    <s v="E04394"/>
    <s v="Penelope Guerrero"/>
    <x v="12"/>
    <x v="2"/>
    <x v="3"/>
    <x v="1"/>
    <s v="Latino"/>
    <n v="43"/>
    <x v="2"/>
    <x v="577"/>
    <n v="208415"/>
    <x v="1"/>
    <x v="11"/>
    <x v="140"/>
    <s v=""/>
  </r>
  <r>
    <s v="E03096"/>
    <s v="Anthony Marquez"/>
    <x v="12"/>
    <x v="2"/>
    <x v="3"/>
    <x v="0"/>
    <s v="Latino"/>
    <n v="54"/>
    <x v="0"/>
    <x v="578"/>
    <n v="241083"/>
    <x v="7"/>
    <x v="11"/>
    <x v="137"/>
    <s v=""/>
  </r>
  <r>
    <s v="E04395"/>
    <s v="Eliana Allen"/>
    <x v="11"/>
    <x v="3"/>
    <x v="0"/>
    <x v="1"/>
    <s v="Caucasian"/>
    <n v="56"/>
    <x v="0"/>
    <x v="579"/>
    <n v="52800"/>
    <x v="6"/>
    <x v="11"/>
    <x v="132"/>
    <s v=""/>
  </r>
  <r>
    <s v="E03092"/>
    <s v="Melody Cooper"/>
    <x v="29"/>
    <x v="0"/>
    <x v="0"/>
    <x v="1"/>
    <s v="Caucasian"/>
    <n v="44"/>
    <x v="2"/>
    <x v="580"/>
    <n v="89695"/>
    <x v="4"/>
    <x v="11"/>
    <x v="136"/>
    <s v=""/>
  </r>
  <r>
    <s v="E04396"/>
    <s v="Eva Coleman"/>
    <x v="1"/>
    <x v="2"/>
    <x v="0"/>
    <x v="1"/>
    <s v="Black"/>
    <n v="37"/>
    <x v="2"/>
    <x v="581"/>
    <n v="167199"/>
    <x v="8"/>
    <x v="11"/>
    <x v="140"/>
    <s v=""/>
  </r>
  <r>
    <s v="E03088"/>
    <s v="Henry Campos"/>
    <x v="10"/>
    <x v="3"/>
    <x v="1"/>
    <x v="0"/>
    <s v="Latino"/>
    <n v="38"/>
    <x v="2"/>
    <x v="582"/>
    <n v="127801"/>
    <x v="9"/>
    <x v="11"/>
    <x v="132"/>
    <s v=""/>
  </r>
  <r>
    <s v="E04397"/>
    <s v="Everly Walker"/>
    <x v="28"/>
    <x v="3"/>
    <x v="3"/>
    <x v="1"/>
    <s v="Caucasian"/>
    <n v="41"/>
    <x v="2"/>
    <x v="135"/>
    <n v="54415"/>
    <x v="7"/>
    <x v="11"/>
    <x v="140"/>
    <d v="2014-01-22T00:00:00"/>
  </r>
  <r>
    <s v="E03084"/>
    <s v="Paisley Hunter"/>
    <x v="0"/>
    <x v="0"/>
    <x v="0"/>
    <x v="1"/>
    <s v="Caucasian"/>
    <n v="61"/>
    <x v="1"/>
    <x v="583"/>
    <n v="98110"/>
    <x v="3"/>
    <x v="11"/>
    <x v="135"/>
    <s v=""/>
  </r>
  <r>
    <s v="E04398"/>
    <s v="Lily Pena"/>
    <x v="7"/>
    <x v="3"/>
    <x v="3"/>
    <x v="1"/>
    <s v="Latino"/>
    <n v="55"/>
    <x v="0"/>
    <x v="584"/>
    <n v="102839"/>
    <x v="0"/>
    <x v="11"/>
    <x v="133"/>
    <s v=""/>
  </r>
  <r>
    <s v="E03080"/>
    <s v="Leilani Baker"/>
    <x v="2"/>
    <x v="2"/>
    <x v="3"/>
    <x v="1"/>
    <s v="Caucasian"/>
    <n v="59"/>
    <x v="0"/>
    <x v="585"/>
    <n v="76027"/>
    <x v="8"/>
    <x v="11"/>
    <x v="140"/>
    <s v=""/>
  </r>
  <r>
    <s v="E03076"/>
    <s v="Kayden Ortega"/>
    <x v="21"/>
    <x v="6"/>
    <x v="2"/>
    <x v="0"/>
    <s v="Latino"/>
    <n v="58"/>
    <x v="0"/>
    <x v="586"/>
    <n v="56350"/>
    <x v="11"/>
    <x v="12"/>
    <x v="139"/>
    <s v=""/>
  </r>
  <r>
    <s v="E04400"/>
    <s v="Lucy Avila"/>
    <x v="31"/>
    <x v="2"/>
    <x v="3"/>
    <x v="1"/>
    <s v="Latino"/>
    <n v="43"/>
    <x v="2"/>
    <x v="587"/>
    <n v="76912"/>
    <x v="9"/>
    <x v="12"/>
    <x v="134"/>
    <s v=""/>
  </r>
  <r>
    <s v="E03072"/>
    <s v="Ezra Banks"/>
    <x v="16"/>
    <x v="1"/>
    <x v="0"/>
    <x v="0"/>
    <s v="Caucasian"/>
    <n v="37"/>
    <x v="2"/>
    <x v="588"/>
    <n v="57531"/>
    <x v="10"/>
    <x v="11"/>
    <x v="135"/>
    <s v=""/>
  </r>
  <r>
    <s v="E04401"/>
    <s v="Samantha Aguilar"/>
    <x v="7"/>
    <x v="6"/>
    <x v="3"/>
    <x v="1"/>
    <s v="Latino"/>
    <n v="46"/>
    <x v="0"/>
    <x v="589"/>
    <n v="102636"/>
    <x v="11"/>
    <x v="11"/>
    <x v="140"/>
    <s v=""/>
  </r>
  <r>
    <s v="E03068"/>
    <s v="Nova Williams"/>
    <x v="7"/>
    <x v="5"/>
    <x v="3"/>
    <x v="1"/>
    <s v="Black"/>
    <n v="61"/>
    <x v="1"/>
    <x v="590"/>
    <n v="110302"/>
    <x v="3"/>
    <x v="11"/>
    <x v="133"/>
    <s v=""/>
  </r>
  <r>
    <s v="E03064"/>
    <s v="Allison Medina"/>
    <x v="7"/>
    <x v="5"/>
    <x v="3"/>
    <x v="1"/>
    <s v="Latino"/>
    <n v="55"/>
    <x v="0"/>
    <x v="591"/>
    <n v="111038"/>
    <x v="6"/>
    <x v="12"/>
    <x v="134"/>
    <s v=""/>
  </r>
  <r>
    <s v="E04403"/>
    <s v="Paisley Hall"/>
    <x v="1"/>
    <x v="3"/>
    <x v="3"/>
    <x v="1"/>
    <s v="Caucasian"/>
    <n v="41"/>
    <x v="2"/>
    <x v="592"/>
    <n v="153275"/>
    <x v="8"/>
    <x v="11"/>
    <x v="137"/>
    <s v=""/>
  </r>
  <r>
    <s v="E03060"/>
    <s v="Luca Nelson"/>
    <x v="7"/>
    <x v="5"/>
    <x v="3"/>
    <x v="0"/>
    <s v="Caucasian"/>
    <n v="60"/>
    <x v="1"/>
    <x v="593"/>
    <n v="106578"/>
    <x v="1"/>
    <x v="11"/>
    <x v="133"/>
    <s v=""/>
  </r>
  <r>
    <s v="E04404"/>
    <s v="Ezra Simmons"/>
    <x v="33"/>
    <x v="0"/>
    <x v="3"/>
    <x v="0"/>
    <s v="Caucasian"/>
    <n v="38"/>
    <x v="2"/>
    <x v="594"/>
    <n v="78237"/>
    <x v="4"/>
    <x v="11"/>
    <x v="132"/>
    <s v=""/>
  </r>
  <r>
    <s v="E03056"/>
    <s v="Henry Figueroa"/>
    <x v="10"/>
    <x v="5"/>
    <x v="2"/>
    <x v="0"/>
    <s v="Latino"/>
    <n v="46"/>
    <x v="0"/>
    <x v="595"/>
    <n v="134881"/>
    <x v="7"/>
    <x v="12"/>
    <x v="138"/>
    <s v=""/>
  </r>
  <r>
    <s v="E03052"/>
    <s v="Layla Scott"/>
    <x v="10"/>
    <x v="6"/>
    <x v="3"/>
    <x v="1"/>
    <s v="Caucasian"/>
    <n v="48"/>
    <x v="0"/>
    <x v="596"/>
    <n v="124774"/>
    <x v="9"/>
    <x v="11"/>
    <x v="132"/>
    <s v=""/>
  </r>
  <r>
    <s v="E04406"/>
    <s v="Isabella Bailey"/>
    <x v="30"/>
    <x v="2"/>
    <x v="2"/>
    <x v="1"/>
    <s v="Caucasian"/>
    <n v="36"/>
    <x v="2"/>
    <x v="597"/>
    <n v="61310"/>
    <x v="6"/>
    <x v="11"/>
    <x v="132"/>
    <s v=""/>
  </r>
  <r>
    <s v="E03048"/>
    <s v="Kayden Jordan"/>
    <x v="8"/>
    <x v="2"/>
    <x v="0"/>
    <x v="0"/>
    <s v="Caucasian"/>
    <n v="48"/>
    <x v="0"/>
    <x v="598"/>
    <n v="99335"/>
    <x v="12"/>
    <x v="11"/>
    <x v="132"/>
    <s v=""/>
  </r>
  <r>
    <s v="E04407"/>
    <s v="Liliana Soto"/>
    <x v="11"/>
    <x v="3"/>
    <x v="2"/>
    <x v="1"/>
    <s v="Latino"/>
    <n v="58"/>
    <x v="0"/>
    <x v="599"/>
    <n v="43001"/>
    <x v="9"/>
    <x v="11"/>
    <x v="136"/>
    <s v=""/>
  </r>
  <r>
    <s v="E03044"/>
    <s v="Gabriel Holmes"/>
    <x v="26"/>
    <x v="2"/>
    <x v="0"/>
    <x v="0"/>
    <s v="Caucasian"/>
    <n v="40"/>
    <x v="2"/>
    <x v="600"/>
    <n v="92952"/>
    <x v="9"/>
    <x v="11"/>
    <x v="140"/>
    <s v=""/>
  </r>
  <r>
    <s v="E04408"/>
    <s v="Dylan Campbell"/>
    <x v="1"/>
    <x v="0"/>
    <x v="3"/>
    <x v="0"/>
    <s v="Caucasian"/>
    <n v="45"/>
    <x v="2"/>
    <x v="153"/>
    <n v="153767"/>
    <x v="8"/>
    <x v="11"/>
    <x v="132"/>
    <s v=""/>
  </r>
  <r>
    <s v="E03040"/>
    <s v="Aiden Silva"/>
    <x v="12"/>
    <x v="2"/>
    <x v="0"/>
    <x v="0"/>
    <s v="Latino"/>
    <n v="42"/>
    <x v="2"/>
    <x v="153"/>
    <n v="186725"/>
    <x v="6"/>
    <x v="12"/>
    <x v="138"/>
    <s v=""/>
  </r>
  <r>
    <s v="E03036"/>
    <s v="Grayson James"/>
    <x v="9"/>
    <x v="0"/>
    <x v="3"/>
    <x v="0"/>
    <s v="Caucasian"/>
    <n v="54"/>
    <x v="0"/>
    <x v="601"/>
    <n v="113982"/>
    <x v="12"/>
    <x v="11"/>
    <x v="140"/>
    <s v=""/>
  </r>
  <r>
    <s v="E04410"/>
    <s v="Violet Hall"/>
    <x v="31"/>
    <x v="2"/>
    <x v="1"/>
    <x v="1"/>
    <s v="Caucasian"/>
    <n v="40"/>
    <x v="2"/>
    <x v="602"/>
    <n v="97807"/>
    <x v="5"/>
    <x v="11"/>
    <x v="135"/>
    <s v=""/>
  </r>
  <r>
    <s v="E03032"/>
    <s v="Jordan Phillips"/>
    <x v="12"/>
    <x v="3"/>
    <x v="1"/>
    <x v="0"/>
    <s v="Black"/>
    <n v="45"/>
    <x v="2"/>
    <x v="603"/>
    <n v="190512"/>
    <x v="0"/>
    <x v="11"/>
    <x v="137"/>
    <s v=""/>
  </r>
  <r>
    <s v="E04411"/>
    <s v="Miles Salazar"/>
    <x v="18"/>
    <x v="2"/>
    <x v="2"/>
    <x v="0"/>
    <s v="Latino"/>
    <n v="36"/>
    <x v="2"/>
    <x v="604"/>
    <n v="53215"/>
    <x v="0"/>
    <x v="12"/>
    <x v="134"/>
    <d v="2014-03-27T00:00:00"/>
  </r>
  <r>
    <s v="E03028"/>
    <s v="Jaxson Wright"/>
    <x v="24"/>
    <x v="2"/>
    <x v="2"/>
    <x v="0"/>
    <s v="Black"/>
    <n v="54"/>
    <x v="0"/>
    <x v="605"/>
    <n v="64417"/>
    <x v="11"/>
    <x v="11"/>
    <x v="137"/>
    <s v=""/>
  </r>
  <r>
    <s v="E04412"/>
    <s v="Andrew Holmes"/>
    <x v="12"/>
    <x v="2"/>
    <x v="3"/>
    <x v="0"/>
    <s v="Black"/>
    <n v="59"/>
    <x v="0"/>
    <x v="606"/>
    <n v="246619"/>
    <x v="7"/>
    <x v="11"/>
    <x v="133"/>
    <s v=""/>
  </r>
  <r>
    <s v="E03024"/>
    <s v="Sarah Daniels"/>
    <x v="10"/>
    <x v="6"/>
    <x v="2"/>
    <x v="1"/>
    <s v="Caucasian"/>
    <n v="55"/>
    <x v="0"/>
    <x v="607"/>
    <n v="138521"/>
    <x v="9"/>
    <x v="11"/>
    <x v="133"/>
    <s v=""/>
  </r>
  <r>
    <s v="E04413"/>
    <s v="Mateo Williams"/>
    <x v="26"/>
    <x v="2"/>
    <x v="2"/>
    <x v="0"/>
    <s v="Caucasian"/>
    <n v="40"/>
    <x v="2"/>
    <x v="608"/>
    <n v="97339"/>
    <x v="1"/>
    <x v="11"/>
    <x v="136"/>
    <s v=""/>
  </r>
  <r>
    <s v="E03020"/>
    <s v="Axel Santos"/>
    <x v="4"/>
    <x v="6"/>
    <x v="3"/>
    <x v="0"/>
    <s v="Latino"/>
    <n v="62"/>
    <x v="1"/>
    <x v="609"/>
    <n v="94422"/>
    <x v="4"/>
    <x v="11"/>
    <x v="132"/>
    <s v=""/>
  </r>
  <r>
    <s v="E04414"/>
    <s v="Athena Jordan"/>
    <x v="13"/>
    <x v="2"/>
    <x v="2"/>
    <x v="1"/>
    <s v="Black"/>
    <n v="42"/>
    <x v="2"/>
    <x v="610"/>
    <n v="72486"/>
    <x v="10"/>
    <x v="11"/>
    <x v="140"/>
    <s v=""/>
  </r>
  <r>
    <s v="E03016"/>
    <s v="Brooklyn Salazar"/>
    <x v="23"/>
    <x v="2"/>
    <x v="2"/>
    <x v="1"/>
    <s v="Latino"/>
    <n v="44"/>
    <x v="2"/>
    <x v="611"/>
    <n v="82462"/>
    <x v="0"/>
    <x v="11"/>
    <x v="136"/>
    <s v=""/>
  </r>
  <r>
    <s v="E04415"/>
    <s v="Dominic Scott"/>
    <x v="4"/>
    <x v="1"/>
    <x v="1"/>
    <x v="0"/>
    <s v="Caucasian"/>
    <n v="45"/>
    <x v="2"/>
    <x v="612"/>
    <n v="81687"/>
    <x v="11"/>
    <x v="11"/>
    <x v="132"/>
    <s v=""/>
  </r>
  <r>
    <s v="E03008"/>
    <s v="John Contreras"/>
    <x v="16"/>
    <x v="4"/>
    <x v="2"/>
    <x v="0"/>
    <s v="Latino"/>
    <n v="35"/>
    <x v="2"/>
    <x v="613"/>
    <n v="66889"/>
    <x v="0"/>
    <x v="11"/>
    <x v="137"/>
    <s v=""/>
  </r>
  <r>
    <s v="E04417"/>
    <s v="Lily Henderson"/>
    <x v="28"/>
    <x v="3"/>
    <x v="2"/>
    <x v="1"/>
    <s v="Caucasian"/>
    <n v="61"/>
    <x v="1"/>
    <x v="614"/>
    <n v="64937"/>
    <x v="12"/>
    <x v="11"/>
    <x v="132"/>
    <s v=""/>
  </r>
  <r>
    <s v="E03004"/>
    <s v="Chloe Salazar"/>
    <x v="10"/>
    <x v="3"/>
    <x v="3"/>
    <x v="1"/>
    <s v="Latino"/>
    <n v="45"/>
    <x v="2"/>
    <x v="615"/>
    <n v="152353"/>
    <x v="11"/>
    <x v="11"/>
    <x v="140"/>
    <s v=""/>
  </r>
  <r>
    <s v="E04418"/>
    <s v="Lucas Daniels"/>
    <x v="7"/>
    <x v="1"/>
    <x v="1"/>
    <x v="0"/>
    <s v="Black"/>
    <n v="42"/>
    <x v="2"/>
    <x v="616"/>
    <n v="102440"/>
    <x v="1"/>
    <x v="11"/>
    <x v="135"/>
    <s v=""/>
  </r>
  <r>
    <s v="E04419"/>
    <s v="Ruby Washington"/>
    <x v="21"/>
    <x v="4"/>
    <x v="0"/>
    <x v="1"/>
    <s v="Black"/>
    <n v="65"/>
    <x v="1"/>
    <x v="617"/>
    <n v="56686"/>
    <x v="7"/>
    <x v="11"/>
    <x v="140"/>
    <d v="2015-06-09T00:00:00"/>
  </r>
  <r>
    <s v="E02996"/>
    <s v="Claire Romero"/>
    <x v="12"/>
    <x v="4"/>
    <x v="2"/>
    <x v="1"/>
    <s v="Latino"/>
    <n v="37"/>
    <x v="2"/>
    <x v="618"/>
    <n v="219474"/>
    <x v="8"/>
    <x v="12"/>
    <x v="138"/>
    <s v=""/>
  </r>
  <r>
    <s v="E02992"/>
    <s v="Levi Mendez"/>
    <x v="12"/>
    <x v="1"/>
    <x v="0"/>
    <x v="0"/>
    <s v="Latino"/>
    <n v="39"/>
    <x v="2"/>
    <x v="619"/>
    <n v="249506"/>
    <x v="7"/>
    <x v="12"/>
    <x v="139"/>
    <s v=""/>
  </r>
  <r>
    <s v="E02988"/>
    <s v="Vivian Lewis"/>
    <x v="7"/>
    <x v="4"/>
    <x v="2"/>
    <x v="1"/>
    <s v="Caucasian"/>
    <n v="65"/>
    <x v="1"/>
    <x v="620"/>
    <n v="104903"/>
    <x v="5"/>
    <x v="11"/>
    <x v="137"/>
    <s v=""/>
  </r>
  <r>
    <s v="E04422"/>
    <s v="Jayden Jimenez"/>
    <x v="7"/>
    <x v="3"/>
    <x v="1"/>
    <x v="0"/>
    <s v="Latino"/>
    <n v="46"/>
    <x v="0"/>
    <x v="621"/>
    <n v="102167"/>
    <x v="2"/>
    <x v="12"/>
    <x v="139"/>
    <s v=""/>
  </r>
  <r>
    <s v="E02984"/>
    <s v="Dominic Parker"/>
    <x v="32"/>
    <x v="0"/>
    <x v="0"/>
    <x v="0"/>
    <s v="Caucasian"/>
    <n v="62"/>
    <x v="1"/>
    <x v="622"/>
    <n v="63959"/>
    <x v="12"/>
    <x v="11"/>
    <x v="140"/>
    <s v=""/>
  </r>
  <r>
    <s v="E04423"/>
    <s v="Roman Munoz"/>
    <x v="10"/>
    <x v="1"/>
    <x v="3"/>
    <x v="0"/>
    <s v="Latino"/>
    <n v="54"/>
    <x v="0"/>
    <x v="167"/>
    <n v="122644"/>
    <x v="0"/>
    <x v="11"/>
    <x v="136"/>
    <s v=""/>
  </r>
  <r>
    <s v="E02980"/>
    <s v="Scarlett Jenkins"/>
    <x v="12"/>
    <x v="2"/>
    <x v="0"/>
    <x v="1"/>
    <s v="Caucasian"/>
    <n v="53"/>
    <x v="0"/>
    <x v="623"/>
    <n v="198473"/>
    <x v="11"/>
    <x v="11"/>
    <x v="133"/>
    <s v=""/>
  </r>
  <r>
    <s v="E04424"/>
    <s v="Serenity Bailey"/>
    <x v="23"/>
    <x v="2"/>
    <x v="2"/>
    <x v="1"/>
    <s v="Caucasian"/>
    <n v="55"/>
    <x v="0"/>
    <x v="624"/>
    <n v="81218"/>
    <x v="3"/>
    <x v="11"/>
    <x v="135"/>
    <s v=""/>
  </r>
  <r>
    <s v="E04425"/>
    <s v="Charles Moore"/>
    <x v="21"/>
    <x v="6"/>
    <x v="3"/>
    <x v="0"/>
    <s v="Caucasian"/>
    <n v="49"/>
    <x v="0"/>
    <x v="625"/>
    <n v="56878"/>
    <x v="1"/>
    <x v="11"/>
    <x v="140"/>
    <s v=""/>
  </r>
  <r>
    <s v="E02972"/>
    <s v="Elias Alvarado"/>
    <x v="10"/>
    <x v="2"/>
    <x v="2"/>
    <x v="0"/>
    <s v="Latino"/>
    <n v="56"/>
    <x v="0"/>
    <x v="626"/>
    <n v="146140"/>
    <x v="6"/>
    <x v="12"/>
    <x v="138"/>
    <s v=""/>
  </r>
  <r>
    <s v="E04426"/>
    <s v="Ezra Ortiz"/>
    <x v="22"/>
    <x v="0"/>
    <x v="0"/>
    <x v="0"/>
    <s v="Latino"/>
    <n v="41"/>
    <x v="2"/>
    <x v="627"/>
    <n v="94658"/>
    <x v="0"/>
    <x v="11"/>
    <x v="133"/>
    <s v=""/>
  </r>
  <r>
    <s v="E02968"/>
    <s v="Madison Hunter"/>
    <x v="30"/>
    <x v="2"/>
    <x v="1"/>
    <x v="1"/>
    <s v="Caucasian"/>
    <n v="40"/>
    <x v="2"/>
    <x v="628"/>
    <n v="61523"/>
    <x v="8"/>
    <x v="11"/>
    <x v="137"/>
    <s v=""/>
  </r>
  <r>
    <s v="E04427"/>
    <s v="Genesis Banks"/>
    <x v="21"/>
    <x v="5"/>
    <x v="1"/>
    <x v="1"/>
    <s v="Caucasian"/>
    <n v="63"/>
    <x v="1"/>
    <x v="629"/>
    <n v="46081"/>
    <x v="6"/>
    <x v="11"/>
    <x v="135"/>
    <s v=""/>
  </r>
  <r>
    <s v="E02964"/>
    <s v="Cooper Valdez"/>
    <x v="7"/>
    <x v="1"/>
    <x v="1"/>
    <x v="0"/>
    <s v="Latino"/>
    <n v="50"/>
    <x v="0"/>
    <x v="630"/>
    <n v="113269"/>
    <x v="10"/>
    <x v="12"/>
    <x v="134"/>
    <s v=""/>
  </r>
  <r>
    <s v="E04428"/>
    <s v="Carter Ortiz"/>
    <x v="22"/>
    <x v="0"/>
    <x v="3"/>
    <x v="0"/>
    <s v="Latino"/>
    <n v="54"/>
    <x v="0"/>
    <x v="631"/>
    <n v="96441"/>
    <x v="12"/>
    <x v="12"/>
    <x v="134"/>
    <s v=""/>
  </r>
  <r>
    <s v="E02960"/>
    <s v="Jade Figueroa"/>
    <x v="4"/>
    <x v="1"/>
    <x v="2"/>
    <x v="1"/>
    <s v="Latino"/>
    <n v="33"/>
    <x v="2"/>
    <x v="632"/>
    <n v="88343"/>
    <x v="6"/>
    <x v="12"/>
    <x v="139"/>
    <s v=""/>
  </r>
  <r>
    <s v="E02956"/>
    <s v="Autumn Gonzales"/>
    <x v="16"/>
    <x v="1"/>
    <x v="1"/>
    <x v="1"/>
    <s v="Latino"/>
    <n v="34"/>
    <x v="2"/>
    <x v="633"/>
    <n v="72126"/>
    <x v="3"/>
    <x v="12"/>
    <x v="138"/>
    <s v=""/>
  </r>
  <r>
    <s v="E04430"/>
    <s v="Leah Patterson"/>
    <x v="7"/>
    <x v="3"/>
    <x v="0"/>
    <x v="1"/>
    <s v="Caucasian"/>
    <n v="33"/>
    <x v="2"/>
    <x v="182"/>
    <n v="118253"/>
    <x v="11"/>
    <x v="11"/>
    <x v="136"/>
    <s v=""/>
  </r>
  <r>
    <s v="E04431"/>
    <s v="Penelope Johnson"/>
    <x v="4"/>
    <x v="4"/>
    <x v="0"/>
    <x v="1"/>
    <s v="Caucasian"/>
    <n v="34"/>
    <x v="2"/>
    <x v="634"/>
    <n v="83066"/>
    <x v="2"/>
    <x v="11"/>
    <x v="135"/>
    <d v="2013-06-05T00:00:00"/>
  </r>
  <r>
    <s v="E02948"/>
    <s v="Alexander Jackson"/>
    <x v="7"/>
    <x v="3"/>
    <x v="1"/>
    <x v="0"/>
    <s v="Caucasian"/>
    <n v="45"/>
    <x v="2"/>
    <x v="635"/>
    <n v="109883"/>
    <x v="11"/>
    <x v="11"/>
    <x v="137"/>
    <s v=""/>
  </r>
  <r>
    <s v="E04432"/>
    <s v="Santiago f Gonzalez"/>
    <x v="7"/>
    <x v="1"/>
    <x v="0"/>
    <x v="0"/>
    <s v="Latino"/>
    <n v="36"/>
    <x v="2"/>
    <x v="636"/>
    <n v="105891"/>
    <x v="7"/>
    <x v="11"/>
    <x v="140"/>
    <s v=""/>
  </r>
  <r>
    <s v="E02944"/>
    <s v="Nora Nunez"/>
    <x v="16"/>
    <x v="5"/>
    <x v="0"/>
    <x v="1"/>
    <s v="Latino"/>
    <n v="45"/>
    <x v="2"/>
    <x v="637"/>
    <n v="58586"/>
    <x v="1"/>
    <x v="12"/>
    <x v="134"/>
    <s v=""/>
  </r>
  <r>
    <s v="E04433"/>
    <s v="Emilia Bailey"/>
    <x v="12"/>
    <x v="6"/>
    <x v="3"/>
    <x v="1"/>
    <s v="Caucasian"/>
    <n v="41"/>
    <x v="2"/>
    <x v="638"/>
    <n v="245360"/>
    <x v="4"/>
    <x v="11"/>
    <x v="136"/>
    <s v=""/>
  </r>
  <r>
    <s v="E02940"/>
    <s v="Dominic Clark"/>
    <x v="22"/>
    <x v="0"/>
    <x v="0"/>
    <x v="0"/>
    <s v="Caucasian"/>
    <n v="52"/>
    <x v="0"/>
    <x v="639"/>
    <n v="71476"/>
    <x v="2"/>
    <x v="11"/>
    <x v="132"/>
    <s v=""/>
  </r>
  <r>
    <s v="E04434"/>
    <s v="Theodore Marquez"/>
    <x v="29"/>
    <x v="0"/>
    <x v="3"/>
    <x v="0"/>
    <s v="Latino"/>
    <n v="54"/>
    <x v="0"/>
    <x v="640"/>
    <n v="94407"/>
    <x v="11"/>
    <x v="12"/>
    <x v="134"/>
    <s v=""/>
  </r>
  <r>
    <s v="E02936"/>
    <s v="Natalie Carter"/>
    <x v="1"/>
    <x v="5"/>
    <x v="1"/>
    <x v="1"/>
    <s v="Caucasian"/>
    <n v="64"/>
    <x v="1"/>
    <x v="641"/>
    <n v="153253"/>
    <x v="9"/>
    <x v="11"/>
    <x v="136"/>
    <s v=""/>
  </r>
  <r>
    <s v="E04435"/>
    <s v="Elijah Ramos"/>
    <x v="10"/>
    <x v="2"/>
    <x v="3"/>
    <x v="0"/>
    <s v="Latino"/>
    <n v="33"/>
    <x v="2"/>
    <x v="642"/>
    <n v="132544"/>
    <x v="3"/>
    <x v="12"/>
    <x v="139"/>
    <s v=""/>
  </r>
  <r>
    <s v="E02932"/>
    <s v="Hunter Ortiz"/>
    <x v="4"/>
    <x v="5"/>
    <x v="1"/>
    <x v="0"/>
    <s v="Latino"/>
    <n v="46"/>
    <x v="0"/>
    <x v="643"/>
    <n v="86061"/>
    <x v="4"/>
    <x v="12"/>
    <x v="139"/>
    <s v=""/>
  </r>
  <r>
    <s v="E04436"/>
    <s v="Ezekiel Jordan"/>
    <x v="10"/>
    <x v="6"/>
    <x v="1"/>
    <x v="0"/>
    <s v="Caucasian"/>
    <n v="33"/>
    <x v="2"/>
    <x v="644"/>
    <n v="144231"/>
    <x v="1"/>
    <x v="11"/>
    <x v="137"/>
    <d v="2020-07-17T00:00:00"/>
  </r>
  <r>
    <s v="E02928"/>
    <s v="Layla Torres"/>
    <x v="10"/>
    <x v="5"/>
    <x v="2"/>
    <x v="1"/>
    <s v="Latino"/>
    <n v="37"/>
    <x v="2"/>
    <x v="645"/>
    <n v="157474"/>
    <x v="10"/>
    <x v="12"/>
    <x v="139"/>
    <s v=""/>
  </r>
  <r>
    <s v="E04437"/>
    <s v="Axel Jordan"/>
    <x v="21"/>
    <x v="1"/>
    <x v="1"/>
    <x v="0"/>
    <s v="Caucasian"/>
    <n v="47"/>
    <x v="0"/>
    <x v="646"/>
    <n v="54635"/>
    <x v="6"/>
    <x v="11"/>
    <x v="135"/>
    <s v=""/>
  </r>
  <r>
    <s v="E02924"/>
    <s v="Wyatt Rojas"/>
    <x v="27"/>
    <x v="2"/>
    <x v="1"/>
    <x v="0"/>
    <s v="Latino"/>
    <n v="32"/>
    <x v="2"/>
    <x v="647"/>
    <n v="79921"/>
    <x v="0"/>
    <x v="11"/>
    <x v="136"/>
    <s v=""/>
  </r>
  <r>
    <s v="E04438"/>
    <s v="Samuel Vega"/>
    <x v="16"/>
    <x v="4"/>
    <x v="3"/>
    <x v="0"/>
    <s v="Latino"/>
    <n v="37"/>
    <x v="2"/>
    <x v="648"/>
    <n v="69570"/>
    <x v="0"/>
    <x v="11"/>
    <x v="133"/>
    <s v=""/>
  </r>
  <r>
    <s v="E02920"/>
    <s v="Ayla Brown"/>
    <x v="10"/>
    <x v="1"/>
    <x v="2"/>
    <x v="1"/>
    <s v="Caucasian"/>
    <n v="49"/>
    <x v="0"/>
    <x v="649"/>
    <n v="128303"/>
    <x v="12"/>
    <x v="11"/>
    <x v="132"/>
    <s v=""/>
  </r>
  <r>
    <s v="E04439"/>
    <s v="Alexander James"/>
    <x v="10"/>
    <x v="3"/>
    <x v="2"/>
    <x v="0"/>
    <s v="Caucasian"/>
    <n v="42"/>
    <x v="2"/>
    <x v="650"/>
    <n v="131179"/>
    <x v="10"/>
    <x v="11"/>
    <x v="137"/>
    <s v=""/>
  </r>
  <r>
    <s v="E02916"/>
    <s v="Samantha Adams"/>
    <x v="32"/>
    <x v="0"/>
    <x v="0"/>
    <x v="1"/>
    <s v="Caucasian"/>
    <n v="45"/>
    <x v="2"/>
    <x v="651"/>
    <n v="61773"/>
    <x v="7"/>
    <x v="11"/>
    <x v="140"/>
    <s v=""/>
  </r>
  <r>
    <s v="E04440"/>
    <s v="Riley Padilla"/>
    <x v="2"/>
    <x v="2"/>
    <x v="2"/>
    <x v="1"/>
    <s v="Latino"/>
    <n v="35"/>
    <x v="2"/>
    <x v="652"/>
    <n v="78940"/>
    <x v="3"/>
    <x v="11"/>
    <x v="133"/>
    <s v=""/>
  </r>
  <r>
    <s v="E02912"/>
    <s v="Easton Moore"/>
    <x v="27"/>
    <x v="2"/>
    <x v="0"/>
    <x v="0"/>
    <s v="Caucasian"/>
    <n v="52"/>
    <x v="0"/>
    <x v="653"/>
    <n v="99557"/>
    <x v="8"/>
    <x v="11"/>
    <x v="140"/>
    <s v=""/>
  </r>
  <r>
    <s v="E04441"/>
    <s v="William Watson"/>
    <x v="1"/>
    <x v="6"/>
    <x v="3"/>
    <x v="0"/>
    <s v="Caucasian"/>
    <n v="41"/>
    <x v="2"/>
    <x v="654"/>
    <n v="167526"/>
    <x v="7"/>
    <x v="11"/>
    <x v="133"/>
    <s v=""/>
  </r>
  <r>
    <s v="E02908"/>
    <s v="Lydia Morales"/>
    <x v="7"/>
    <x v="5"/>
    <x v="3"/>
    <x v="1"/>
    <s v="Latino"/>
    <n v="51"/>
    <x v="0"/>
    <x v="655"/>
    <n v="108221"/>
    <x v="11"/>
    <x v="12"/>
    <x v="138"/>
    <s v=""/>
  </r>
  <r>
    <s v="E02904"/>
    <s v="Alexander Morris"/>
    <x v="7"/>
    <x v="1"/>
    <x v="3"/>
    <x v="0"/>
    <s v="Caucasian"/>
    <n v="33"/>
    <x v="2"/>
    <x v="656"/>
    <n v="119631"/>
    <x v="1"/>
    <x v="11"/>
    <x v="132"/>
    <s v=""/>
  </r>
  <r>
    <s v="E04443"/>
    <s v="Grayson Cooper"/>
    <x v="10"/>
    <x v="5"/>
    <x v="3"/>
    <x v="0"/>
    <s v="Black"/>
    <n v="64"/>
    <x v="1"/>
    <x v="657"/>
    <n v="159571"/>
    <x v="1"/>
    <x v="11"/>
    <x v="137"/>
    <s v=""/>
  </r>
  <r>
    <s v="E02900"/>
    <s v="Genesis Perry"/>
    <x v="10"/>
    <x v="1"/>
    <x v="1"/>
    <x v="1"/>
    <s v="Caucasian"/>
    <n v="46"/>
    <x v="0"/>
    <x v="658"/>
    <n v="149712"/>
    <x v="7"/>
    <x v="11"/>
    <x v="137"/>
    <s v=""/>
  </r>
  <r>
    <s v="E04444"/>
    <s v="Christian Sanders"/>
    <x v="12"/>
    <x v="3"/>
    <x v="3"/>
    <x v="0"/>
    <s v="Black"/>
    <n v="45"/>
    <x v="2"/>
    <x v="659"/>
    <n v="236946"/>
    <x v="7"/>
    <x v="11"/>
    <x v="140"/>
    <s v=""/>
  </r>
  <r>
    <s v="E02896"/>
    <s v="Caleb Flores"/>
    <x v="7"/>
    <x v="3"/>
    <x v="2"/>
    <x v="0"/>
    <s v="Latino"/>
    <n v="34"/>
    <x v="2"/>
    <x v="660"/>
    <n v="113909"/>
    <x v="9"/>
    <x v="12"/>
    <x v="139"/>
    <s v=""/>
  </r>
  <r>
    <s v="E02892"/>
    <s v="Samuel Bailey"/>
    <x v="12"/>
    <x v="6"/>
    <x v="3"/>
    <x v="0"/>
    <s v="Caucasian"/>
    <n v="41"/>
    <x v="2"/>
    <x v="661"/>
    <n v="235619"/>
    <x v="12"/>
    <x v="11"/>
    <x v="140"/>
    <s v=""/>
  </r>
  <r>
    <s v="E04446"/>
    <s v="Genesis Woods"/>
    <x v="7"/>
    <x v="3"/>
    <x v="3"/>
    <x v="1"/>
    <s v="Black"/>
    <n v="33"/>
    <x v="2"/>
    <x v="662"/>
    <n v="105390"/>
    <x v="5"/>
    <x v="11"/>
    <x v="137"/>
    <s v=""/>
  </r>
  <r>
    <s v="E02888"/>
    <s v="Emery Acosta"/>
    <x v="12"/>
    <x v="1"/>
    <x v="0"/>
    <x v="1"/>
    <s v="Latino"/>
    <n v="42"/>
    <x v="2"/>
    <x v="663"/>
    <n v="181452"/>
    <x v="1"/>
    <x v="11"/>
    <x v="137"/>
    <s v=""/>
  </r>
  <r>
    <s v="E04447"/>
    <s v="Ezra Wilson"/>
    <x v="24"/>
    <x v="2"/>
    <x v="2"/>
    <x v="0"/>
    <s v="Caucasian"/>
    <n v="55"/>
    <x v="0"/>
    <x v="664"/>
    <n v="70334"/>
    <x v="6"/>
    <x v="11"/>
    <x v="133"/>
    <s v=""/>
  </r>
  <r>
    <s v="E04448"/>
    <s v="David Barnes"/>
    <x v="1"/>
    <x v="2"/>
    <x v="1"/>
    <x v="0"/>
    <s v="Caucasian"/>
    <n v="64"/>
    <x v="1"/>
    <x v="665"/>
    <n v="186503"/>
    <x v="5"/>
    <x v="11"/>
    <x v="137"/>
    <s v=""/>
  </r>
  <r>
    <s v="E02880"/>
    <s v="Bella Lopez"/>
    <x v="4"/>
    <x v="4"/>
    <x v="1"/>
    <x v="1"/>
    <s v="Latino"/>
    <n v="32"/>
    <x v="2"/>
    <x v="666"/>
    <n v="88895"/>
    <x v="4"/>
    <x v="11"/>
    <x v="135"/>
    <s v=""/>
  </r>
  <r>
    <s v="E04449"/>
    <s v="Charles Diaz"/>
    <x v="10"/>
    <x v="1"/>
    <x v="1"/>
    <x v="0"/>
    <s v="Latino"/>
    <n v="55"/>
    <x v="0"/>
    <x v="667"/>
    <n v="124129"/>
    <x v="11"/>
    <x v="12"/>
    <x v="134"/>
    <s v=""/>
  </r>
  <r>
    <s v="E02876"/>
    <s v="Kennedy Foster"/>
    <x v="7"/>
    <x v="4"/>
    <x v="3"/>
    <x v="1"/>
    <s v="Caucasian"/>
    <n v="53"/>
    <x v="0"/>
    <x v="668"/>
    <n v="113135"/>
    <x v="10"/>
    <x v="11"/>
    <x v="136"/>
    <s v=""/>
  </r>
  <r>
    <s v="E04450"/>
    <s v="Aaron Garza"/>
    <x v="1"/>
    <x v="1"/>
    <x v="0"/>
    <x v="0"/>
    <s v="Latino"/>
    <n v="39"/>
    <x v="2"/>
    <x v="669"/>
    <n v="165756"/>
    <x v="3"/>
    <x v="11"/>
    <x v="137"/>
    <d v="2020-06-09T00:00:00"/>
  </r>
  <r>
    <s v="E02872"/>
    <s v="Elijah Henry"/>
    <x v="7"/>
    <x v="2"/>
    <x v="1"/>
    <x v="0"/>
    <s v="Caucasian"/>
    <n v="32"/>
    <x v="2"/>
    <x v="670"/>
    <n v="127148"/>
    <x v="2"/>
    <x v="11"/>
    <x v="133"/>
    <s v=""/>
  </r>
  <r>
    <s v="E04451"/>
    <s v="Caroline Nelson"/>
    <x v="12"/>
    <x v="5"/>
    <x v="1"/>
    <x v="1"/>
    <s v="Caucasian"/>
    <n v="36"/>
    <x v="2"/>
    <x v="671"/>
    <n v="202323"/>
    <x v="2"/>
    <x v="11"/>
    <x v="135"/>
    <s v=""/>
  </r>
  <r>
    <s v="E02868"/>
    <s v="Hailey Sanchez"/>
    <x v="12"/>
    <x v="4"/>
    <x v="1"/>
    <x v="1"/>
    <s v="Latino"/>
    <n v="32"/>
    <x v="2"/>
    <x v="672"/>
    <n v="203445"/>
    <x v="4"/>
    <x v="12"/>
    <x v="138"/>
    <s v=""/>
  </r>
  <r>
    <s v="E02864"/>
    <s v="Nora Brown"/>
    <x v="26"/>
    <x v="2"/>
    <x v="2"/>
    <x v="1"/>
    <s v="Caucasian"/>
    <n v="32"/>
    <x v="2"/>
    <x v="673"/>
    <n v="99575"/>
    <x v="10"/>
    <x v="11"/>
    <x v="136"/>
    <s v=""/>
  </r>
  <r>
    <s v="E04453"/>
    <s v="Ezekiel Reed"/>
    <x v="10"/>
    <x v="2"/>
    <x v="2"/>
    <x v="0"/>
    <s v="Caucasian"/>
    <n v="37"/>
    <x v="2"/>
    <x v="674"/>
    <n v="128984"/>
    <x v="2"/>
    <x v="11"/>
    <x v="133"/>
    <d v="2021-05-01T00:00:00"/>
  </r>
  <r>
    <s v="E02860"/>
    <s v="Eli Reed"/>
    <x v="15"/>
    <x v="2"/>
    <x v="1"/>
    <x v="0"/>
    <s v="Caucasian"/>
    <n v="51"/>
    <x v="0"/>
    <x v="675"/>
    <n v="53929"/>
    <x v="8"/>
    <x v="11"/>
    <x v="133"/>
    <d v="2017-12-22T00:00:00"/>
  </r>
  <r>
    <s v="E04454"/>
    <s v="Avery Grant"/>
    <x v="26"/>
    <x v="2"/>
    <x v="0"/>
    <x v="1"/>
    <s v="Caucasian"/>
    <n v="49"/>
    <x v="0"/>
    <x v="676"/>
    <n v="88777"/>
    <x v="5"/>
    <x v="11"/>
    <x v="135"/>
    <s v=""/>
  </r>
  <r>
    <s v="E02856"/>
    <s v="Aria Castro"/>
    <x v="0"/>
    <x v="0"/>
    <x v="3"/>
    <x v="1"/>
    <s v="Latino"/>
    <n v="45"/>
    <x v="2"/>
    <x v="677"/>
    <n v="113873"/>
    <x v="4"/>
    <x v="12"/>
    <x v="139"/>
    <s v=""/>
  </r>
  <r>
    <s v="E04455"/>
    <s v="Layla Salazar"/>
    <x v="31"/>
    <x v="2"/>
    <x v="1"/>
    <x v="1"/>
    <s v="Latino"/>
    <n v="59"/>
    <x v="0"/>
    <x v="678"/>
    <n v="90901"/>
    <x v="11"/>
    <x v="11"/>
    <x v="140"/>
    <s v=""/>
  </r>
  <r>
    <s v="E04456"/>
    <s v="Valentina Davis"/>
    <x v="21"/>
    <x v="1"/>
    <x v="3"/>
    <x v="1"/>
    <s v="Caucasian"/>
    <n v="33"/>
    <x v="2"/>
    <x v="679"/>
    <n v="46878"/>
    <x v="8"/>
    <x v="11"/>
    <x v="133"/>
    <s v=""/>
  </r>
  <r>
    <s v="E02848"/>
    <s v="Hazel Alvarez"/>
    <x v="11"/>
    <x v="3"/>
    <x v="0"/>
    <x v="1"/>
    <s v="Latino"/>
    <n v="62"/>
    <x v="1"/>
    <x v="680"/>
    <n v="45295"/>
    <x v="8"/>
    <x v="12"/>
    <x v="134"/>
    <s v=""/>
  </r>
  <r>
    <s v="E04457"/>
    <s v="Eleanor Delgado"/>
    <x v="4"/>
    <x v="4"/>
    <x v="2"/>
    <x v="1"/>
    <s v="Latino"/>
    <n v="33"/>
    <x v="2"/>
    <x v="681"/>
    <n v="75869"/>
    <x v="0"/>
    <x v="12"/>
    <x v="134"/>
    <s v=""/>
  </r>
  <r>
    <s v="E02844"/>
    <s v="Nova Herrera"/>
    <x v="17"/>
    <x v="1"/>
    <x v="3"/>
    <x v="1"/>
    <s v="Latino"/>
    <n v="45"/>
    <x v="2"/>
    <x v="682"/>
    <n v="65047"/>
    <x v="12"/>
    <x v="12"/>
    <x v="134"/>
    <s v=""/>
  </r>
  <r>
    <s v="E04458"/>
    <s v="Eva Figueroa"/>
    <x v="16"/>
    <x v="1"/>
    <x v="0"/>
    <x v="1"/>
    <s v="Latino"/>
    <n v="48"/>
    <x v="0"/>
    <x v="683"/>
    <n v="61216"/>
    <x v="7"/>
    <x v="11"/>
    <x v="140"/>
    <s v=""/>
  </r>
  <r>
    <s v="E02840"/>
    <s v="Sofia Parker"/>
    <x v="8"/>
    <x v="2"/>
    <x v="2"/>
    <x v="1"/>
    <s v="Caucasian"/>
    <n v="36"/>
    <x v="2"/>
    <x v="684"/>
    <n v="99080"/>
    <x v="8"/>
    <x v="11"/>
    <x v="135"/>
    <s v=""/>
  </r>
  <r>
    <s v="E04459"/>
    <s v="Everett Morales"/>
    <x v="31"/>
    <x v="2"/>
    <x v="3"/>
    <x v="0"/>
    <s v="Latino"/>
    <n v="57"/>
    <x v="0"/>
    <x v="685"/>
    <n v="66649"/>
    <x v="5"/>
    <x v="12"/>
    <x v="139"/>
    <s v=""/>
  </r>
  <r>
    <s v="E02836"/>
    <s v="Thomas Vazquez"/>
    <x v="1"/>
    <x v="0"/>
    <x v="1"/>
    <x v="0"/>
    <s v="Latino"/>
    <n v="46"/>
    <x v="0"/>
    <x v="686"/>
    <n v="173629"/>
    <x v="7"/>
    <x v="12"/>
    <x v="134"/>
    <s v=""/>
  </r>
  <r>
    <s v="E04460"/>
    <s v="Brooklyn Ruiz"/>
    <x v="18"/>
    <x v="2"/>
    <x v="2"/>
    <x v="1"/>
    <s v="Latino"/>
    <n v="61"/>
    <x v="1"/>
    <x v="687"/>
    <n v="57446"/>
    <x v="6"/>
    <x v="11"/>
    <x v="132"/>
    <s v=""/>
  </r>
  <r>
    <s v="E02832"/>
    <s v="Adrian Ruiz"/>
    <x v="4"/>
    <x v="5"/>
    <x v="1"/>
    <x v="0"/>
    <s v="Latino"/>
    <n v="34"/>
    <x v="2"/>
    <x v="688"/>
    <n v="95499"/>
    <x v="8"/>
    <x v="12"/>
    <x v="134"/>
    <d v="2017-08-11T00:00:00"/>
  </r>
  <r>
    <s v="E04461"/>
    <s v="Athena Vasquez"/>
    <x v="3"/>
    <x v="0"/>
    <x v="3"/>
    <x v="1"/>
    <s v="Latino"/>
    <n v="59"/>
    <x v="0"/>
    <x v="689"/>
    <n v="69578"/>
    <x v="11"/>
    <x v="12"/>
    <x v="139"/>
    <s v=""/>
  </r>
  <r>
    <s v="E02828"/>
    <s v="Peyton Owens"/>
    <x v="14"/>
    <x v="0"/>
    <x v="3"/>
    <x v="1"/>
    <s v="Caucasian"/>
    <n v="48"/>
    <x v="0"/>
    <x v="690"/>
    <n v="96693"/>
    <x v="8"/>
    <x v="11"/>
    <x v="135"/>
    <s v=""/>
  </r>
  <r>
    <s v="E04462"/>
    <s v="Elena Richardson"/>
    <x v="7"/>
    <x v="6"/>
    <x v="2"/>
    <x v="1"/>
    <s v="Caucasian"/>
    <n v="34"/>
    <x v="2"/>
    <x v="691"/>
    <n v="103707"/>
    <x v="8"/>
    <x v="11"/>
    <x v="137"/>
    <s v=""/>
  </r>
  <r>
    <s v="E02824"/>
    <s v="Hannah King"/>
    <x v="7"/>
    <x v="6"/>
    <x v="3"/>
    <x v="1"/>
    <s v="Caucasian"/>
    <n v="31"/>
    <x v="2"/>
    <x v="692"/>
    <n v="114911"/>
    <x v="4"/>
    <x v="11"/>
    <x v="135"/>
    <s v=""/>
  </r>
  <r>
    <s v="E02820"/>
    <s v="Mia Herrera"/>
    <x v="1"/>
    <x v="4"/>
    <x v="0"/>
    <x v="1"/>
    <s v="Latino"/>
    <n v="43"/>
    <x v="2"/>
    <x v="693"/>
    <n v="171360"/>
    <x v="4"/>
    <x v="12"/>
    <x v="138"/>
    <s v=""/>
  </r>
  <r>
    <s v="E04464"/>
    <s v="Elijah Coleman"/>
    <x v="10"/>
    <x v="1"/>
    <x v="0"/>
    <x v="0"/>
    <s v="Caucasian"/>
    <n v="53"/>
    <x v="0"/>
    <x v="694"/>
    <n v="159538"/>
    <x v="9"/>
    <x v="11"/>
    <x v="133"/>
    <s v=""/>
  </r>
  <r>
    <s v="E02816"/>
    <s v="Lucy Alexander"/>
    <x v="1"/>
    <x v="0"/>
    <x v="2"/>
    <x v="1"/>
    <s v="Caucasian"/>
    <n v="45"/>
    <x v="2"/>
    <x v="695"/>
    <n v="189420"/>
    <x v="1"/>
    <x v="11"/>
    <x v="140"/>
    <s v=""/>
  </r>
  <r>
    <s v="E04465"/>
    <s v="Lydia Williams"/>
    <x v="13"/>
    <x v="2"/>
    <x v="2"/>
    <x v="1"/>
    <s v="Black"/>
    <n v="35"/>
    <x v="2"/>
    <x v="695"/>
    <n v="91592"/>
    <x v="7"/>
    <x v="11"/>
    <x v="135"/>
    <s v=""/>
  </r>
  <r>
    <s v="E02812"/>
    <s v="Logan Carrillo"/>
    <x v="4"/>
    <x v="4"/>
    <x v="0"/>
    <x v="0"/>
    <s v="Latino"/>
    <n v="33"/>
    <x v="2"/>
    <x v="696"/>
    <n v="91280"/>
    <x v="4"/>
    <x v="11"/>
    <x v="133"/>
    <s v=""/>
  </r>
  <r>
    <s v="E04466"/>
    <s v="Noah King"/>
    <x v="29"/>
    <x v="0"/>
    <x v="3"/>
    <x v="0"/>
    <s v="Black"/>
    <n v="56"/>
    <x v="0"/>
    <x v="697"/>
    <n v="62575"/>
    <x v="12"/>
    <x v="11"/>
    <x v="133"/>
    <s v=""/>
  </r>
  <r>
    <s v="E02808"/>
    <s v="Everly Coleman"/>
    <x v="12"/>
    <x v="2"/>
    <x v="1"/>
    <x v="1"/>
    <s v="Caucasian"/>
    <n v="48"/>
    <x v="0"/>
    <x v="698"/>
    <n v="194871"/>
    <x v="4"/>
    <x v="11"/>
    <x v="137"/>
    <s v=""/>
  </r>
  <r>
    <s v="E04467"/>
    <s v="Sophie Owens"/>
    <x v="16"/>
    <x v="5"/>
    <x v="0"/>
    <x v="1"/>
    <s v="Caucasian"/>
    <n v="30"/>
    <x v="3"/>
    <x v="699"/>
    <n v="52697"/>
    <x v="8"/>
    <x v="11"/>
    <x v="140"/>
    <s v=""/>
  </r>
  <r>
    <s v="E04468"/>
    <s v="Liam Grant"/>
    <x v="6"/>
    <x v="3"/>
    <x v="0"/>
    <x v="0"/>
    <s v="Caucasian"/>
    <n v="30"/>
    <x v="3"/>
    <x v="700"/>
    <n v="93734"/>
    <x v="1"/>
    <x v="11"/>
    <x v="132"/>
    <s v=""/>
  </r>
  <r>
    <s v="E02800"/>
    <s v="Lyla Stewart"/>
    <x v="10"/>
    <x v="2"/>
    <x v="3"/>
    <x v="1"/>
    <s v="Caucasian"/>
    <n v="43"/>
    <x v="2"/>
    <x v="701"/>
    <n v="120321"/>
    <x v="2"/>
    <x v="11"/>
    <x v="136"/>
    <s v=""/>
  </r>
  <r>
    <s v="E04469"/>
    <s v="Dylan Dominguez"/>
    <x v="4"/>
    <x v="4"/>
    <x v="0"/>
    <x v="0"/>
    <s v="Latino"/>
    <n v="42"/>
    <x v="2"/>
    <x v="702"/>
    <n v="99697"/>
    <x v="8"/>
    <x v="12"/>
    <x v="139"/>
    <s v=""/>
  </r>
  <r>
    <s v="E02796"/>
    <s v="Axel Johnson"/>
    <x v="1"/>
    <x v="3"/>
    <x v="1"/>
    <x v="0"/>
    <s v="Caucasian"/>
    <n v="60"/>
    <x v="1"/>
    <x v="703"/>
    <n v="155788"/>
    <x v="4"/>
    <x v="11"/>
    <x v="140"/>
    <s v=""/>
  </r>
  <r>
    <s v="E04470"/>
    <s v="Jose Henderson"/>
    <x v="1"/>
    <x v="3"/>
    <x v="3"/>
    <x v="0"/>
    <s v="Black"/>
    <n v="41"/>
    <x v="2"/>
    <x v="704"/>
    <n v="152239"/>
    <x v="6"/>
    <x v="11"/>
    <x v="137"/>
    <s v=""/>
  </r>
  <r>
    <s v="E02792"/>
    <s v="Eli Richardson"/>
    <x v="18"/>
    <x v="2"/>
    <x v="3"/>
    <x v="0"/>
    <s v="Caucasian"/>
    <n v="38"/>
    <x v="2"/>
    <x v="705"/>
    <n v="48762"/>
    <x v="8"/>
    <x v="11"/>
    <x v="140"/>
    <s v=""/>
  </r>
  <r>
    <s v="E04471"/>
    <s v="Joshua Juarez"/>
    <x v="16"/>
    <x v="5"/>
    <x v="2"/>
    <x v="0"/>
    <s v="Latino"/>
    <n v="46"/>
    <x v="0"/>
    <x v="706"/>
    <n v="64364"/>
    <x v="8"/>
    <x v="12"/>
    <x v="134"/>
    <s v=""/>
  </r>
  <r>
    <s v="E02788"/>
    <s v="Sarah Ayala"/>
    <x v="21"/>
    <x v="1"/>
    <x v="1"/>
    <x v="1"/>
    <s v="Latino"/>
    <n v="47"/>
    <x v="0"/>
    <x v="707"/>
    <n v="41429"/>
    <x v="9"/>
    <x v="11"/>
    <x v="140"/>
    <s v=""/>
  </r>
  <r>
    <s v="E04473"/>
    <s v="Parker Sandoval"/>
    <x v="7"/>
    <x v="3"/>
    <x v="3"/>
    <x v="0"/>
    <s v="Latino"/>
    <n v="59"/>
    <x v="0"/>
    <x v="708"/>
    <n v="101985"/>
    <x v="3"/>
    <x v="11"/>
    <x v="133"/>
    <s v=""/>
  </r>
  <r>
    <s v="E02780"/>
    <s v="Robert Wright"/>
    <x v="2"/>
    <x v="2"/>
    <x v="2"/>
    <x v="0"/>
    <s v="Caucasian"/>
    <n v="30"/>
    <x v="3"/>
    <x v="709"/>
    <n v="67489"/>
    <x v="4"/>
    <x v="11"/>
    <x v="135"/>
    <s v=""/>
  </r>
  <r>
    <s v="E04474"/>
    <s v="Anthony Rogers"/>
    <x v="12"/>
    <x v="0"/>
    <x v="1"/>
    <x v="0"/>
    <s v="Caucasian"/>
    <n v="33"/>
    <x v="2"/>
    <x v="710"/>
    <n v="205314"/>
    <x v="2"/>
    <x v="11"/>
    <x v="137"/>
    <s v=""/>
  </r>
  <r>
    <s v="E02776"/>
    <s v="Samuel Morales"/>
    <x v="16"/>
    <x v="5"/>
    <x v="1"/>
    <x v="0"/>
    <s v="Latino"/>
    <n v="34"/>
    <x v="2"/>
    <x v="711"/>
    <n v="57008"/>
    <x v="3"/>
    <x v="11"/>
    <x v="132"/>
    <s v=""/>
  </r>
  <r>
    <s v="E04475"/>
    <s v="Grayson Soto"/>
    <x v="11"/>
    <x v="3"/>
    <x v="2"/>
    <x v="0"/>
    <s v="Latino"/>
    <n v="34"/>
    <x v="2"/>
    <x v="712"/>
    <n v="52200"/>
    <x v="1"/>
    <x v="11"/>
    <x v="137"/>
    <s v=""/>
  </r>
  <r>
    <s v="E02772"/>
    <s v="Aria Roberts"/>
    <x v="7"/>
    <x v="6"/>
    <x v="1"/>
    <x v="1"/>
    <s v="Caucasian"/>
    <n v="38"/>
    <x v="2"/>
    <x v="713"/>
    <n v="106858"/>
    <x v="11"/>
    <x v="11"/>
    <x v="140"/>
    <s v=""/>
  </r>
  <r>
    <s v="E04476"/>
    <s v="Jade Acosta"/>
    <x v="29"/>
    <x v="0"/>
    <x v="0"/>
    <x v="1"/>
    <s v="Latino"/>
    <n v="47"/>
    <x v="0"/>
    <x v="714"/>
    <n v="68488"/>
    <x v="2"/>
    <x v="11"/>
    <x v="140"/>
    <s v=""/>
  </r>
  <r>
    <s v="E02768"/>
    <s v="Roman Martinez"/>
    <x v="10"/>
    <x v="5"/>
    <x v="0"/>
    <x v="0"/>
    <s v="Latino"/>
    <n v="31"/>
    <x v="2"/>
    <x v="715"/>
    <n v="145846"/>
    <x v="6"/>
    <x v="12"/>
    <x v="138"/>
    <s v=""/>
  </r>
  <r>
    <s v="E04477"/>
    <s v="Olivia Gray"/>
    <x v="7"/>
    <x v="4"/>
    <x v="0"/>
    <x v="1"/>
    <s v="Black"/>
    <n v="42"/>
    <x v="2"/>
    <x v="715"/>
    <n v="103423"/>
    <x v="0"/>
    <x v="11"/>
    <x v="137"/>
    <s v=""/>
  </r>
  <r>
    <s v="E02764"/>
    <s v="John Soto"/>
    <x v="10"/>
    <x v="5"/>
    <x v="2"/>
    <x v="0"/>
    <s v="Latino"/>
    <n v="60"/>
    <x v="1"/>
    <x v="716"/>
    <n v="141899"/>
    <x v="10"/>
    <x v="11"/>
    <x v="132"/>
    <s v=""/>
  </r>
  <r>
    <s v="E04478"/>
    <s v="Mila Allen"/>
    <x v="14"/>
    <x v="0"/>
    <x v="1"/>
    <x v="1"/>
    <s v="Caucasian"/>
    <n v="56"/>
    <x v="0"/>
    <x v="717"/>
    <n v="76272"/>
    <x v="9"/>
    <x v="11"/>
    <x v="133"/>
    <d v="2021-10-22T00:00:00"/>
  </r>
  <r>
    <s v="E02760"/>
    <s v="Hazel Griffin"/>
    <x v="3"/>
    <x v="0"/>
    <x v="1"/>
    <x v="1"/>
    <s v="Caucasian"/>
    <n v="32"/>
    <x v="2"/>
    <x v="241"/>
    <n v="65247"/>
    <x v="12"/>
    <x v="11"/>
    <x v="132"/>
    <s v=""/>
  </r>
  <r>
    <s v="E02756"/>
    <s v="Carter Turner"/>
    <x v="4"/>
    <x v="4"/>
    <x v="1"/>
    <x v="0"/>
    <s v="Caucasian"/>
    <n v="33"/>
    <x v="2"/>
    <x v="718"/>
    <n v="91632"/>
    <x v="4"/>
    <x v="11"/>
    <x v="132"/>
    <s v=""/>
  </r>
  <r>
    <s v="E04480"/>
    <s v="Thomas Williams"/>
    <x v="3"/>
    <x v="0"/>
    <x v="3"/>
    <x v="0"/>
    <s v="Caucasian"/>
    <n v="45"/>
    <x v="2"/>
    <x v="719"/>
    <n v="87292"/>
    <x v="2"/>
    <x v="11"/>
    <x v="137"/>
    <s v=""/>
  </r>
  <r>
    <s v="E04481"/>
    <s v="Dylan Padilla"/>
    <x v="28"/>
    <x v="3"/>
    <x v="2"/>
    <x v="0"/>
    <s v="Latino"/>
    <n v="31"/>
    <x v="2"/>
    <x v="720"/>
    <n v="73854"/>
    <x v="4"/>
    <x v="11"/>
    <x v="140"/>
    <s v=""/>
  </r>
  <r>
    <s v="E04482"/>
    <s v="Brooks Stewart"/>
    <x v="28"/>
    <x v="3"/>
    <x v="2"/>
    <x v="0"/>
    <s v="Black"/>
    <n v="45"/>
    <x v="2"/>
    <x v="721"/>
    <n v="51983"/>
    <x v="5"/>
    <x v="11"/>
    <x v="137"/>
    <s v=""/>
  </r>
  <r>
    <s v="E02744"/>
    <s v="Luke Sanchez"/>
    <x v="10"/>
    <x v="3"/>
    <x v="2"/>
    <x v="0"/>
    <s v="Latino"/>
    <n v="41"/>
    <x v="2"/>
    <x v="722"/>
    <n v="129903"/>
    <x v="3"/>
    <x v="12"/>
    <x v="134"/>
    <s v=""/>
  </r>
  <r>
    <s v="E04483"/>
    <s v="Lucy Figueroa"/>
    <x v="10"/>
    <x v="5"/>
    <x v="0"/>
    <x v="1"/>
    <s v="Latino"/>
    <n v="45"/>
    <x v="2"/>
    <x v="723"/>
    <n v="149761"/>
    <x v="5"/>
    <x v="11"/>
    <x v="137"/>
    <s v=""/>
  </r>
  <r>
    <s v="E02736"/>
    <s v="Cameron Young"/>
    <x v="12"/>
    <x v="0"/>
    <x v="2"/>
    <x v="0"/>
    <s v="Caucasian"/>
    <n v="63"/>
    <x v="1"/>
    <x v="724"/>
    <n v="180994"/>
    <x v="5"/>
    <x v="11"/>
    <x v="140"/>
    <s v=""/>
  </r>
  <r>
    <s v="E04485"/>
    <s v="Charles Moore"/>
    <x v="2"/>
    <x v="2"/>
    <x v="2"/>
    <x v="0"/>
    <s v="Black"/>
    <n v="34"/>
    <x v="2"/>
    <x v="725"/>
    <n v="63411"/>
    <x v="2"/>
    <x v="11"/>
    <x v="133"/>
    <s v=""/>
  </r>
  <r>
    <s v="E02732"/>
    <s v="Jameson Nelson"/>
    <x v="20"/>
    <x v="2"/>
    <x v="0"/>
    <x v="0"/>
    <s v="Caucasian"/>
    <n v="61"/>
    <x v="1"/>
    <x v="726"/>
    <n v="96566"/>
    <x v="3"/>
    <x v="11"/>
    <x v="137"/>
    <s v=""/>
  </r>
  <r>
    <s v="E04487"/>
    <s v="Penelope Rodriguez"/>
    <x v="0"/>
    <x v="0"/>
    <x v="2"/>
    <x v="1"/>
    <s v="Latino"/>
    <n v="49"/>
    <x v="0"/>
    <x v="727"/>
    <n v="100810"/>
    <x v="2"/>
    <x v="12"/>
    <x v="139"/>
    <s v=""/>
  </r>
  <r>
    <s v="E02724"/>
    <s v="Josephine Salazar"/>
    <x v="3"/>
    <x v="0"/>
    <x v="3"/>
    <x v="1"/>
    <s v="Latino"/>
    <n v="36"/>
    <x v="2"/>
    <x v="728"/>
    <n v="85870"/>
    <x v="9"/>
    <x v="12"/>
    <x v="134"/>
    <s v=""/>
  </r>
  <r>
    <s v="E04488"/>
    <s v="Jose Brown"/>
    <x v="13"/>
    <x v="2"/>
    <x v="3"/>
    <x v="0"/>
    <s v="Caucasian"/>
    <n v="43"/>
    <x v="2"/>
    <x v="729"/>
    <n v="67976"/>
    <x v="8"/>
    <x v="11"/>
    <x v="140"/>
    <s v=""/>
  </r>
  <r>
    <s v="E02720"/>
    <s v="Emily Davis"/>
    <x v="10"/>
    <x v="2"/>
    <x v="0"/>
    <x v="1"/>
    <s v="Black"/>
    <n v="55"/>
    <x v="0"/>
    <x v="730"/>
    <n v="141604"/>
    <x v="8"/>
    <x v="11"/>
    <x v="140"/>
    <d v="2021-10-16T00:00:00"/>
  </r>
  <r>
    <s v="E04489"/>
    <s v="Isabella Scott"/>
    <x v="30"/>
    <x v="2"/>
    <x v="0"/>
    <x v="1"/>
    <s v="Caucasian"/>
    <n v="58"/>
    <x v="0"/>
    <x v="731"/>
    <n v="72045"/>
    <x v="12"/>
    <x v="11"/>
    <x v="132"/>
    <s v=""/>
  </r>
  <r>
    <s v="E02716"/>
    <s v="Paisley Bryant"/>
    <x v="8"/>
    <x v="2"/>
    <x v="2"/>
    <x v="1"/>
    <s v="Black"/>
    <n v="37"/>
    <x v="2"/>
    <x v="732"/>
    <n v="91400"/>
    <x v="3"/>
    <x v="11"/>
    <x v="135"/>
    <s v=""/>
  </r>
  <r>
    <s v="E04490"/>
    <s v="Eli Soto"/>
    <x v="21"/>
    <x v="4"/>
    <x v="3"/>
    <x v="0"/>
    <s v="Latino"/>
    <n v="38"/>
    <x v="2"/>
    <x v="733"/>
    <n v="50784"/>
    <x v="12"/>
    <x v="12"/>
    <x v="139"/>
    <s v=""/>
  </r>
  <r>
    <s v="E02712"/>
    <s v="Ezra Simmons"/>
    <x v="30"/>
    <x v="2"/>
    <x v="2"/>
    <x v="0"/>
    <s v="Black"/>
    <n v="31"/>
    <x v="2"/>
    <x v="734"/>
    <n v="71192"/>
    <x v="7"/>
    <x v="11"/>
    <x v="136"/>
    <s v=""/>
  </r>
  <r>
    <s v="E04491"/>
    <s v="Julian Delgado"/>
    <x v="15"/>
    <x v="2"/>
    <x v="3"/>
    <x v="0"/>
    <s v="Latino"/>
    <n v="29"/>
    <x v="3"/>
    <x v="735"/>
    <n v="52693"/>
    <x v="0"/>
    <x v="12"/>
    <x v="139"/>
    <s v=""/>
  </r>
  <r>
    <s v="E04492"/>
    <s v="Everleigh Fernandez"/>
    <x v="1"/>
    <x v="0"/>
    <x v="0"/>
    <x v="1"/>
    <s v="Latino"/>
    <n v="30"/>
    <x v="3"/>
    <x v="251"/>
    <n v="189702"/>
    <x v="2"/>
    <x v="12"/>
    <x v="138"/>
    <d v="2020-12-21T00:00:00"/>
  </r>
  <r>
    <s v="E02704"/>
    <s v="Luke Wilson"/>
    <x v="31"/>
    <x v="2"/>
    <x v="3"/>
    <x v="0"/>
    <s v="Caucasian"/>
    <n v="34"/>
    <x v="2"/>
    <x v="736"/>
    <n v="94352"/>
    <x v="12"/>
    <x v="11"/>
    <x v="133"/>
    <s v=""/>
  </r>
  <r>
    <s v="E04493"/>
    <s v="Peyton Cruz"/>
    <x v="29"/>
    <x v="0"/>
    <x v="2"/>
    <x v="1"/>
    <s v="Latino"/>
    <n v="30"/>
    <x v="3"/>
    <x v="737"/>
    <n v="91134"/>
    <x v="4"/>
    <x v="12"/>
    <x v="134"/>
    <s v=""/>
  </r>
  <r>
    <s v="E02700"/>
    <s v="Anna Molina"/>
    <x v="4"/>
    <x v="6"/>
    <x v="1"/>
    <x v="1"/>
    <s v="Latino"/>
    <n v="41"/>
    <x v="2"/>
    <x v="738"/>
    <n v="70165"/>
    <x v="11"/>
    <x v="11"/>
    <x v="137"/>
    <s v=""/>
  </r>
  <r>
    <s v="E04494"/>
    <s v="Grayson Brown"/>
    <x v="12"/>
    <x v="2"/>
    <x v="1"/>
    <x v="0"/>
    <s v="Caucasian"/>
    <n v="38"/>
    <x v="2"/>
    <x v="739"/>
    <n v="249870"/>
    <x v="3"/>
    <x v="11"/>
    <x v="135"/>
    <s v=""/>
  </r>
  <r>
    <s v="E02696"/>
    <s v="Silas Estrada"/>
    <x v="23"/>
    <x v="2"/>
    <x v="1"/>
    <x v="0"/>
    <s v="Latino"/>
    <n v="49"/>
    <x v="0"/>
    <x v="740"/>
    <n v="68426"/>
    <x v="6"/>
    <x v="12"/>
    <x v="139"/>
    <s v=""/>
  </r>
  <r>
    <s v="E04495"/>
    <s v="Raelynn Rios"/>
    <x v="12"/>
    <x v="1"/>
    <x v="2"/>
    <x v="1"/>
    <s v="Latino"/>
    <n v="43"/>
    <x v="2"/>
    <x v="741"/>
    <n v="258498"/>
    <x v="0"/>
    <x v="11"/>
    <x v="137"/>
    <s v=""/>
  </r>
  <r>
    <s v="E02692"/>
    <s v="Jacob Davis"/>
    <x v="1"/>
    <x v="6"/>
    <x v="0"/>
    <x v="0"/>
    <s v="Caucasian"/>
    <n v="36"/>
    <x v="2"/>
    <x v="742"/>
    <n v="150399"/>
    <x v="12"/>
    <x v="11"/>
    <x v="135"/>
    <s v=""/>
  </r>
  <r>
    <s v="E04496"/>
    <s v="Joseph Martin"/>
    <x v="16"/>
    <x v="4"/>
    <x v="1"/>
    <x v="0"/>
    <s v="Black"/>
    <n v="41"/>
    <x v="2"/>
    <x v="743"/>
    <n v="64847"/>
    <x v="7"/>
    <x v="11"/>
    <x v="133"/>
    <s v=""/>
  </r>
  <r>
    <s v="E02688"/>
    <s v="Wesley Young"/>
    <x v="4"/>
    <x v="4"/>
    <x v="3"/>
    <x v="0"/>
    <s v="Caucasian"/>
    <n v="33"/>
    <x v="2"/>
    <x v="744"/>
    <n v="98427"/>
    <x v="7"/>
    <x v="11"/>
    <x v="137"/>
    <s v=""/>
  </r>
  <r>
    <s v="E02684"/>
    <s v="Hadley Parker"/>
    <x v="12"/>
    <x v="4"/>
    <x v="1"/>
    <x v="1"/>
    <s v="Black"/>
    <n v="30"/>
    <x v="3"/>
    <x v="745"/>
    <n v="221217"/>
    <x v="7"/>
    <x v="11"/>
    <x v="137"/>
    <d v="2017-09-25T00:00:00"/>
  </r>
  <r>
    <s v="E04498"/>
    <s v="Ian Miller"/>
    <x v="27"/>
    <x v="2"/>
    <x v="1"/>
    <x v="0"/>
    <s v="Black"/>
    <n v="31"/>
    <x v="2"/>
    <x v="746"/>
    <n v="63744"/>
    <x v="10"/>
    <x v="11"/>
    <x v="136"/>
    <s v=""/>
  </r>
  <r>
    <s v="E02680"/>
    <s v="Scarlett Figueroa"/>
    <x v="11"/>
    <x v="3"/>
    <x v="3"/>
    <x v="1"/>
    <s v="Latino"/>
    <n v="34"/>
    <x v="2"/>
    <x v="747"/>
    <n v="52811"/>
    <x v="6"/>
    <x v="11"/>
    <x v="133"/>
    <s v=""/>
  </r>
  <r>
    <s v="E04499"/>
    <s v="Robert Alvarez"/>
    <x v="24"/>
    <x v="2"/>
    <x v="1"/>
    <x v="0"/>
    <s v="Latino"/>
    <n v="39"/>
    <x v="2"/>
    <x v="747"/>
    <n v="84297"/>
    <x v="8"/>
    <x v="12"/>
    <x v="138"/>
    <s v=""/>
  </r>
  <r>
    <s v="E02676"/>
    <s v="Naomi Coleman"/>
    <x v="7"/>
    <x v="4"/>
    <x v="1"/>
    <x v="1"/>
    <s v="Caucasian"/>
    <n v="29"/>
    <x v="3"/>
    <x v="748"/>
    <n v="122054"/>
    <x v="11"/>
    <x v="11"/>
    <x v="132"/>
    <s v=""/>
  </r>
  <r>
    <s v="E04500"/>
    <s v="Penelope Silva"/>
    <x v="20"/>
    <x v="2"/>
    <x v="3"/>
    <x v="1"/>
    <s v="Latino"/>
    <n v="36"/>
    <x v="2"/>
    <x v="749"/>
    <n v="94618"/>
    <x v="11"/>
    <x v="11"/>
    <x v="137"/>
    <s v=""/>
  </r>
  <r>
    <s v="E02672"/>
    <s v="Charlotte Baker"/>
    <x v="16"/>
    <x v="1"/>
    <x v="2"/>
    <x v="1"/>
    <s v="Caucasian"/>
    <n v="29"/>
    <x v="3"/>
    <x v="750"/>
    <n v="60930"/>
    <x v="7"/>
    <x v="11"/>
    <x v="136"/>
    <s v=""/>
  </r>
  <r>
    <s v="E04501"/>
    <s v="Jameson Allen"/>
    <x v="1"/>
    <x v="4"/>
    <x v="3"/>
    <x v="0"/>
    <s v="Caucasian"/>
    <n v="32"/>
    <x v="2"/>
    <x v="751"/>
    <n v="177443"/>
    <x v="12"/>
    <x v="11"/>
    <x v="140"/>
    <s v=""/>
  </r>
  <r>
    <s v="E02668"/>
    <s v="Andrew Thomas"/>
    <x v="14"/>
    <x v="0"/>
    <x v="2"/>
    <x v="0"/>
    <s v="Caucasian"/>
    <n v="36"/>
    <x v="2"/>
    <x v="752"/>
    <n v="113781"/>
    <x v="8"/>
    <x v="11"/>
    <x v="137"/>
    <s v=""/>
  </r>
  <r>
    <s v="E04502"/>
    <s v="Emma Brooks"/>
    <x v="25"/>
    <x v="1"/>
    <x v="0"/>
    <x v="1"/>
    <s v="Caucasian"/>
    <n v="30"/>
    <x v="3"/>
    <x v="753"/>
    <n v="89458"/>
    <x v="12"/>
    <x v="11"/>
    <x v="136"/>
    <s v=""/>
  </r>
  <r>
    <s v="E02664"/>
    <s v="Emma Hill"/>
    <x v="18"/>
    <x v="2"/>
    <x v="2"/>
    <x v="1"/>
    <s v="Caucasian"/>
    <n v="54"/>
    <x v="0"/>
    <x v="754"/>
    <n v="41673"/>
    <x v="6"/>
    <x v="11"/>
    <x v="133"/>
    <s v=""/>
  </r>
  <r>
    <s v="E04503"/>
    <s v="Hadley Contreras"/>
    <x v="1"/>
    <x v="0"/>
    <x v="1"/>
    <x v="1"/>
    <s v="Latino"/>
    <n v="60"/>
    <x v="1"/>
    <x v="755"/>
    <n v="178502"/>
    <x v="5"/>
    <x v="11"/>
    <x v="136"/>
    <s v=""/>
  </r>
  <r>
    <s v="E02660"/>
    <s v="Samantha Barnes"/>
    <x v="12"/>
    <x v="4"/>
    <x v="3"/>
    <x v="1"/>
    <s v="Caucasian"/>
    <n v="29"/>
    <x v="3"/>
    <x v="756"/>
    <n v="190401"/>
    <x v="6"/>
    <x v="11"/>
    <x v="137"/>
    <s v=""/>
  </r>
  <r>
    <s v="E04504"/>
    <s v="Samantha Chavez"/>
    <x v="4"/>
    <x v="1"/>
    <x v="3"/>
    <x v="1"/>
    <s v="Latino"/>
    <n v="53"/>
    <x v="0"/>
    <x v="757"/>
    <n v="75769"/>
    <x v="11"/>
    <x v="12"/>
    <x v="138"/>
    <d v="2020-07-17T00:00:00"/>
  </r>
  <r>
    <s v="E02656"/>
    <s v="Violet Garcia"/>
    <x v="4"/>
    <x v="4"/>
    <x v="3"/>
    <x v="1"/>
    <s v="Latino"/>
    <n v="35"/>
    <x v="2"/>
    <x v="758"/>
    <n v="80622"/>
    <x v="3"/>
    <x v="11"/>
    <x v="136"/>
    <s v=""/>
  </r>
  <r>
    <s v="E04505"/>
    <s v="Ella Hunter"/>
    <x v="21"/>
    <x v="5"/>
    <x v="2"/>
    <x v="1"/>
    <s v="Caucasian"/>
    <n v="51"/>
    <x v="0"/>
    <x v="263"/>
    <n v="53799"/>
    <x v="11"/>
    <x v="11"/>
    <x v="137"/>
    <s v=""/>
  </r>
  <r>
    <s v="E02652"/>
    <s v="Hailey Watson"/>
    <x v="10"/>
    <x v="6"/>
    <x v="1"/>
    <x v="1"/>
    <s v="Black"/>
    <n v="31"/>
    <x v="2"/>
    <x v="759"/>
    <n v="124629"/>
    <x v="6"/>
    <x v="11"/>
    <x v="137"/>
    <s v=""/>
  </r>
  <r>
    <s v="E04506"/>
    <s v="Mila Roberts"/>
    <x v="6"/>
    <x v="3"/>
    <x v="1"/>
    <x v="1"/>
    <s v="Caucasian"/>
    <n v="30"/>
    <x v="3"/>
    <x v="760"/>
    <n v="88663"/>
    <x v="7"/>
    <x v="11"/>
    <x v="132"/>
    <s v=""/>
  </r>
  <r>
    <s v="E02648"/>
    <s v="Skylar Ayala"/>
    <x v="10"/>
    <x v="5"/>
    <x v="1"/>
    <x v="1"/>
    <s v="Latino"/>
    <n v="55"/>
    <x v="0"/>
    <x v="761"/>
    <n v="144986"/>
    <x v="0"/>
    <x v="11"/>
    <x v="132"/>
    <s v=""/>
  </r>
  <r>
    <s v="E02644"/>
    <s v="John Delgado"/>
    <x v="8"/>
    <x v="2"/>
    <x v="1"/>
    <x v="0"/>
    <s v="Latino"/>
    <n v="30"/>
    <x v="3"/>
    <x v="267"/>
    <n v="92058"/>
    <x v="9"/>
    <x v="11"/>
    <x v="136"/>
    <s v=""/>
  </r>
  <r>
    <s v="E04508"/>
    <s v="Grayson Walker"/>
    <x v="1"/>
    <x v="6"/>
    <x v="2"/>
    <x v="0"/>
    <s v="Caucasian"/>
    <n v="29"/>
    <x v="3"/>
    <x v="762"/>
    <n v="181854"/>
    <x v="9"/>
    <x v="11"/>
    <x v="140"/>
    <d v="2020-04-24T00:00:00"/>
  </r>
  <r>
    <s v="E02640"/>
    <s v="Elijah Watson"/>
    <x v="10"/>
    <x v="1"/>
    <x v="2"/>
    <x v="0"/>
    <s v="Caucasian"/>
    <n v="29"/>
    <x v="3"/>
    <x v="763"/>
    <n v="151413"/>
    <x v="2"/>
    <x v="11"/>
    <x v="140"/>
    <s v=""/>
  </r>
  <r>
    <s v="E04509"/>
    <s v="Emery Ford"/>
    <x v="16"/>
    <x v="4"/>
    <x v="1"/>
    <x v="1"/>
    <s v="Caucasian"/>
    <n v="39"/>
    <x v="2"/>
    <x v="764"/>
    <n v="58745"/>
    <x v="7"/>
    <x v="11"/>
    <x v="136"/>
    <s v=""/>
  </r>
  <r>
    <s v="E02636"/>
    <s v="Eva Alvarado"/>
    <x v="27"/>
    <x v="2"/>
    <x v="2"/>
    <x v="1"/>
    <s v="Latino"/>
    <n v="46"/>
    <x v="0"/>
    <x v="765"/>
    <n v="77461"/>
    <x v="6"/>
    <x v="12"/>
    <x v="134"/>
    <s v=""/>
  </r>
  <r>
    <s v="E04510"/>
    <s v="Jaxson Sandoval"/>
    <x v="4"/>
    <x v="1"/>
    <x v="3"/>
    <x v="0"/>
    <s v="Latino"/>
    <n v="61"/>
    <x v="1"/>
    <x v="766"/>
    <n v="90855"/>
    <x v="1"/>
    <x v="12"/>
    <x v="134"/>
    <s v=""/>
  </r>
  <r>
    <s v="E02632"/>
    <s v="Jonathan Chavez"/>
    <x v="13"/>
    <x v="2"/>
    <x v="2"/>
    <x v="0"/>
    <s v="Latino"/>
    <n v="29"/>
    <x v="3"/>
    <x v="767"/>
    <n v="87536"/>
    <x v="5"/>
    <x v="11"/>
    <x v="140"/>
    <s v=""/>
  </r>
  <r>
    <s v="E04511"/>
    <s v="Kai Flores"/>
    <x v="29"/>
    <x v="0"/>
    <x v="2"/>
    <x v="0"/>
    <s v="Latino"/>
    <n v="35"/>
    <x v="2"/>
    <x v="768"/>
    <n v="65566"/>
    <x v="1"/>
    <x v="11"/>
    <x v="140"/>
    <s v=""/>
  </r>
  <r>
    <s v="E02628"/>
    <s v="Caleb Nelson"/>
    <x v="1"/>
    <x v="4"/>
    <x v="1"/>
    <x v="0"/>
    <s v="Caucasian"/>
    <n v="33"/>
    <x v="2"/>
    <x v="769"/>
    <n v="164396"/>
    <x v="8"/>
    <x v="11"/>
    <x v="137"/>
    <s v=""/>
  </r>
  <r>
    <s v="E02624"/>
    <s v="Bella Holmes"/>
    <x v="1"/>
    <x v="6"/>
    <x v="0"/>
    <x v="1"/>
    <s v="Caucasian"/>
    <n v="35"/>
    <x v="2"/>
    <x v="770"/>
    <n v="161269"/>
    <x v="11"/>
    <x v="11"/>
    <x v="133"/>
    <s v=""/>
  </r>
  <r>
    <s v="E04513"/>
    <s v="Sophie Silva"/>
    <x v="12"/>
    <x v="0"/>
    <x v="1"/>
    <x v="1"/>
    <s v="Latino"/>
    <n v="28"/>
    <x v="3"/>
    <x v="280"/>
    <n v="240488"/>
    <x v="8"/>
    <x v="12"/>
    <x v="139"/>
    <s v=""/>
  </r>
  <r>
    <s v="E02620"/>
    <s v="Ethan Clark"/>
    <x v="6"/>
    <x v="3"/>
    <x v="2"/>
    <x v="0"/>
    <s v="Caucasian"/>
    <n v="33"/>
    <x v="2"/>
    <x v="283"/>
    <n v="92610"/>
    <x v="0"/>
    <x v="11"/>
    <x v="137"/>
    <s v=""/>
  </r>
  <r>
    <s v="E04514"/>
    <s v="Mateo Harris"/>
    <x v="7"/>
    <x v="2"/>
    <x v="1"/>
    <x v="0"/>
    <s v="Caucasian"/>
    <n v="30"/>
    <x v="3"/>
    <x v="771"/>
    <n v="119906"/>
    <x v="4"/>
    <x v="11"/>
    <x v="137"/>
    <s v=""/>
  </r>
  <r>
    <s v="E02616"/>
    <s v="Amelia Bell"/>
    <x v="4"/>
    <x v="1"/>
    <x v="2"/>
    <x v="1"/>
    <s v="Caucasian"/>
    <n v="53"/>
    <x v="0"/>
    <x v="771"/>
    <n v="89769"/>
    <x v="9"/>
    <x v="11"/>
    <x v="140"/>
    <s v=""/>
  </r>
  <r>
    <s v="E04515"/>
    <s v="Angel Delgado"/>
    <x v="1"/>
    <x v="5"/>
    <x v="1"/>
    <x v="0"/>
    <s v="Latino"/>
    <n v="31"/>
    <x v="2"/>
    <x v="772"/>
    <n v="156931"/>
    <x v="2"/>
    <x v="11"/>
    <x v="140"/>
    <s v=""/>
  </r>
  <r>
    <s v="E02612"/>
    <s v="Hazel Young"/>
    <x v="10"/>
    <x v="1"/>
    <x v="3"/>
    <x v="1"/>
    <s v="Black"/>
    <n v="30"/>
    <x v="3"/>
    <x v="773"/>
    <n v="154624"/>
    <x v="0"/>
    <x v="11"/>
    <x v="136"/>
    <s v=""/>
  </r>
  <r>
    <s v="E04516"/>
    <s v="Luke Munoz"/>
    <x v="1"/>
    <x v="0"/>
    <x v="3"/>
    <x v="0"/>
    <s v="Latino"/>
    <n v="64"/>
    <x v="1"/>
    <x v="774"/>
    <n v="169509"/>
    <x v="12"/>
    <x v="12"/>
    <x v="138"/>
    <s v=""/>
  </r>
  <r>
    <s v="E02608"/>
    <s v="Autumn Reed"/>
    <x v="29"/>
    <x v="0"/>
    <x v="1"/>
    <x v="1"/>
    <s v="Caucasian"/>
    <n v="37"/>
    <x v="2"/>
    <x v="775"/>
    <n v="70770"/>
    <x v="12"/>
    <x v="11"/>
    <x v="133"/>
    <s v=""/>
  </r>
  <r>
    <s v="E02604"/>
    <s v="Mila Juarez"/>
    <x v="7"/>
    <x v="1"/>
    <x v="3"/>
    <x v="1"/>
    <s v="Latino"/>
    <n v="38"/>
    <x v="2"/>
    <x v="776"/>
    <n v="119647"/>
    <x v="7"/>
    <x v="12"/>
    <x v="134"/>
    <s v=""/>
  </r>
  <r>
    <s v="E04518"/>
    <s v="Nicholas Avila"/>
    <x v="26"/>
    <x v="2"/>
    <x v="0"/>
    <x v="0"/>
    <s v="Latino"/>
    <n v="28"/>
    <x v="3"/>
    <x v="777"/>
    <n v="97336"/>
    <x v="7"/>
    <x v="11"/>
    <x v="136"/>
    <s v=""/>
  </r>
  <r>
    <s v="E02600"/>
    <s v="Charlotte Ruiz"/>
    <x v="27"/>
    <x v="2"/>
    <x v="2"/>
    <x v="1"/>
    <s v="Latino"/>
    <n v="32"/>
    <x v="2"/>
    <x v="778"/>
    <n v="61886"/>
    <x v="12"/>
    <x v="12"/>
    <x v="139"/>
    <s v=""/>
  </r>
  <r>
    <s v="E04519"/>
    <s v="Christopher Butler"/>
    <x v="20"/>
    <x v="2"/>
    <x v="2"/>
    <x v="0"/>
    <s v="Caucasian"/>
    <n v="41"/>
    <x v="2"/>
    <x v="779"/>
    <n v="67468"/>
    <x v="7"/>
    <x v="11"/>
    <x v="133"/>
    <s v=""/>
  </r>
  <r>
    <s v="E02596"/>
    <s v="Everleigh White"/>
    <x v="20"/>
    <x v="2"/>
    <x v="3"/>
    <x v="1"/>
    <s v="Caucasian"/>
    <n v="59"/>
    <x v="0"/>
    <x v="780"/>
    <n v="86831"/>
    <x v="5"/>
    <x v="11"/>
    <x v="132"/>
    <s v=""/>
  </r>
  <r>
    <s v="E04520"/>
    <s v="Nicholas Brooks"/>
    <x v="16"/>
    <x v="6"/>
    <x v="2"/>
    <x v="0"/>
    <s v="Caucasian"/>
    <n v="43"/>
    <x v="2"/>
    <x v="780"/>
    <n v="56555"/>
    <x v="10"/>
    <x v="11"/>
    <x v="132"/>
    <s v=""/>
  </r>
  <r>
    <s v="E02592"/>
    <s v="Nevaeh James"/>
    <x v="31"/>
    <x v="2"/>
    <x v="3"/>
    <x v="1"/>
    <s v="Caucasian"/>
    <n v="45"/>
    <x v="2"/>
    <x v="781"/>
    <n v="66660"/>
    <x v="10"/>
    <x v="11"/>
    <x v="136"/>
    <s v=""/>
  </r>
  <r>
    <s v="E04521"/>
    <s v="Julia Sandoval"/>
    <x v="7"/>
    <x v="3"/>
    <x v="1"/>
    <x v="1"/>
    <s v="Latino"/>
    <n v="42"/>
    <x v="2"/>
    <x v="782"/>
    <n v="101143"/>
    <x v="11"/>
    <x v="11"/>
    <x v="133"/>
    <s v=""/>
  </r>
  <r>
    <s v="E02588"/>
    <s v="Emilia Rivera"/>
    <x v="32"/>
    <x v="0"/>
    <x v="0"/>
    <x v="1"/>
    <s v="Latino"/>
    <n v="42"/>
    <x v="2"/>
    <x v="783"/>
    <n v="96023"/>
    <x v="1"/>
    <x v="11"/>
    <x v="133"/>
    <s v=""/>
  </r>
  <r>
    <s v="E04522"/>
    <s v="Autumn Ortiz"/>
    <x v="3"/>
    <x v="0"/>
    <x v="0"/>
    <x v="1"/>
    <s v="Latino"/>
    <n v="30"/>
    <x v="3"/>
    <x v="784"/>
    <n v="87744"/>
    <x v="7"/>
    <x v="12"/>
    <x v="134"/>
    <s v=""/>
  </r>
  <r>
    <s v="E02584"/>
    <s v="Camila Watson"/>
    <x v="12"/>
    <x v="5"/>
    <x v="3"/>
    <x v="1"/>
    <s v="Caucasian"/>
    <n v="32"/>
    <x v="2"/>
    <x v="785"/>
    <n v="190253"/>
    <x v="2"/>
    <x v="11"/>
    <x v="136"/>
    <s v=""/>
  </r>
  <r>
    <s v="E04523"/>
    <s v="Ryan Holmes"/>
    <x v="10"/>
    <x v="4"/>
    <x v="3"/>
    <x v="0"/>
    <s v="Caucasian"/>
    <n v="45"/>
    <x v="2"/>
    <x v="786"/>
    <n v="127422"/>
    <x v="8"/>
    <x v="11"/>
    <x v="137"/>
    <s v=""/>
  </r>
  <r>
    <s v="E02580"/>
    <s v="Caroline Perez"/>
    <x v="14"/>
    <x v="0"/>
    <x v="1"/>
    <x v="1"/>
    <s v="Latino"/>
    <n v="29"/>
    <x v="3"/>
    <x v="787"/>
    <n v="80516"/>
    <x v="11"/>
    <x v="12"/>
    <x v="134"/>
    <s v=""/>
  </r>
  <r>
    <s v="E04524"/>
    <s v="Eloise Alexander"/>
    <x v="12"/>
    <x v="3"/>
    <x v="1"/>
    <x v="1"/>
    <s v="Black"/>
    <n v="28"/>
    <x v="3"/>
    <x v="788"/>
    <n v="208210"/>
    <x v="0"/>
    <x v="11"/>
    <x v="140"/>
    <s v=""/>
  </r>
  <r>
    <s v="E02576"/>
    <s v="Everleigh Espinoza"/>
    <x v="1"/>
    <x v="3"/>
    <x v="2"/>
    <x v="1"/>
    <s v="Latino"/>
    <n v="54"/>
    <x v="0"/>
    <x v="789"/>
    <n v="176294"/>
    <x v="7"/>
    <x v="11"/>
    <x v="136"/>
    <s v=""/>
  </r>
  <r>
    <s v="E02572"/>
    <s v="Emma Perry"/>
    <x v="31"/>
    <x v="2"/>
    <x v="2"/>
    <x v="1"/>
    <s v="Caucasian"/>
    <n v="28"/>
    <x v="3"/>
    <x v="789"/>
    <n v="68176"/>
    <x v="4"/>
    <x v="11"/>
    <x v="140"/>
    <s v=""/>
  </r>
  <r>
    <s v="E04526"/>
    <s v="Skylar Bell"/>
    <x v="12"/>
    <x v="0"/>
    <x v="2"/>
    <x v="1"/>
    <s v="Caucasian"/>
    <n v="30"/>
    <x v="3"/>
    <x v="790"/>
    <n v="255431"/>
    <x v="7"/>
    <x v="11"/>
    <x v="137"/>
    <s v=""/>
  </r>
  <r>
    <s v="E04527"/>
    <s v="Nova Hill"/>
    <x v="4"/>
    <x v="6"/>
    <x v="2"/>
    <x v="1"/>
    <s v="Caucasian"/>
    <n v="56"/>
    <x v="0"/>
    <x v="300"/>
    <n v="90040"/>
    <x v="9"/>
    <x v="11"/>
    <x v="135"/>
    <s v=""/>
  </r>
  <r>
    <s v="E02564"/>
    <s v="Hudson Williams"/>
    <x v="12"/>
    <x v="1"/>
    <x v="3"/>
    <x v="0"/>
    <s v="Black"/>
    <n v="36"/>
    <x v="2"/>
    <x v="791"/>
    <n v="195200"/>
    <x v="1"/>
    <x v="11"/>
    <x v="136"/>
    <s v=""/>
  </r>
  <r>
    <s v="E04528"/>
    <s v="Cora Evans"/>
    <x v="27"/>
    <x v="2"/>
    <x v="3"/>
    <x v="1"/>
    <s v="Black"/>
    <n v="45"/>
    <x v="2"/>
    <x v="792"/>
    <n v="86478"/>
    <x v="9"/>
    <x v="11"/>
    <x v="136"/>
    <s v=""/>
  </r>
  <r>
    <s v="E02560"/>
    <s v="Scarlett Hill"/>
    <x v="1"/>
    <x v="0"/>
    <x v="3"/>
    <x v="1"/>
    <s v="Black"/>
    <n v="45"/>
    <x v="2"/>
    <x v="793"/>
    <n v="187205"/>
    <x v="10"/>
    <x v="11"/>
    <x v="137"/>
    <d v="2022-06-20T00:00:00"/>
  </r>
  <r>
    <s v="E04529"/>
    <s v="Wesley Dominguez"/>
    <x v="0"/>
    <x v="0"/>
    <x v="1"/>
    <x v="0"/>
    <s v="Latino"/>
    <n v="45"/>
    <x v="2"/>
    <x v="794"/>
    <n v="115490"/>
    <x v="5"/>
    <x v="11"/>
    <x v="135"/>
    <s v=""/>
  </r>
  <r>
    <s v="E02556"/>
    <s v="Caroline Jenkins"/>
    <x v="21"/>
    <x v="5"/>
    <x v="0"/>
    <x v="1"/>
    <s v="Caucasian"/>
    <n v="27"/>
    <x v="3"/>
    <x v="795"/>
    <n v="49011"/>
    <x v="1"/>
    <x v="11"/>
    <x v="135"/>
    <s v=""/>
  </r>
  <r>
    <s v="E04530"/>
    <s v="Autumn Joseph"/>
    <x v="26"/>
    <x v="2"/>
    <x v="1"/>
    <x v="1"/>
    <s v="Black"/>
    <n v="39"/>
    <x v="2"/>
    <x v="796"/>
    <n v="73317"/>
    <x v="12"/>
    <x v="11"/>
    <x v="133"/>
    <s v=""/>
  </r>
  <r>
    <s v="E02552"/>
    <s v="Addison Roberts"/>
    <x v="20"/>
    <x v="2"/>
    <x v="2"/>
    <x v="1"/>
    <s v="Caucasian"/>
    <n v="65"/>
    <x v="1"/>
    <x v="797"/>
    <n v="60985"/>
    <x v="5"/>
    <x v="11"/>
    <x v="140"/>
    <s v=""/>
  </r>
  <r>
    <s v="E04531"/>
    <s v="Isla Chavez"/>
    <x v="17"/>
    <x v="1"/>
    <x v="0"/>
    <x v="1"/>
    <s v="Latino"/>
    <n v="29"/>
    <x v="3"/>
    <x v="307"/>
    <n v="65334"/>
    <x v="8"/>
    <x v="12"/>
    <x v="139"/>
    <s v=""/>
  </r>
  <r>
    <s v="E02548"/>
    <s v="Daniel Richardson"/>
    <x v="1"/>
    <x v="0"/>
    <x v="3"/>
    <x v="0"/>
    <s v="Caucasian"/>
    <n v="30"/>
    <x v="3"/>
    <x v="308"/>
    <n v="184368"/>
    <x v="6"/>
    <x v="11"/>
    <x v="136"/>
    <s v=""/>
  </r>
  <r>
    <s v="E02544"/>
    <s v="Abigail Garza"/>
    <x v="21"/>
    <x v="6"/>
    <x v="2"/>
    <x v="1"/>
    <s v="Latino"/>
    <n v="33"/>
    <x v="2"/>
    <x v="798"/>
    <n v="45049"/>
    <x v="5"/>
    <x v="11"/>
    <x v="140"/>
    <s v=""/>
  </r>
  <r>
    <s v="E04533"/>
    <s v="Ethan Joseph"/>
    <x v="18"/>
    <x v="2"/>
    <x v="0"/>
    <x v="0"/>
    <s v="Caucasian"/>
    <n v="45"/>
    <x v="2"/>
    <x v="799"/>
    <n v="49219"/>
    <x v="5"/>
    <x v="11"/>
    <x v="137"/>
    <s v=""/>
  </r>
  <r>
    <s v="E02540"/>
    <s v="Emery Mitchell"/>
    <x v="12"/>
    <x v="5"/>
    <x v="2"/>
    <x v="1"/>
    <s v="Caucasian"/>
    <n v="48"/>
    <x v="0"/>
    <x v="800"/>
    <n v="231567"/>
    <x v="1"/>
    <x v="11"/>
    <x v="140"/>
    <s v=""/>
  </r>
  <r>
    <s v="E04534"/>
    <s v="Alexander Gonzales"/>
    <x v="7"/>
    <x v="6"/>
    <x v="0"/>
    <x v="0"/>
    <s v="Latino"/>
    <n v="34"/>
    <x v="2"/>
    <x v="309"/>
    <n v="128329"/>
    <x v="4"/>
    <x v="11"/>
    <x v="132"/>
    <s v=""/>
  </r>
  <r>
    <s v="E02536"/>
    <s v="Madeline Walker"/>
    <x v="4"/>
    <x v="5"/>
    <x v="3"/>
    <x v="1"/>
    <s v="Caucasian"/>
    <n v="34"/>
    <x v="2"/>
    <x v="801"/>
    <n v="77203"/>
    <x v="0"/>
    <x v="11"/>
    <x v="135"/>
    <s v=""/>
  </r>
  <r>
    <s v="E04535"/>
    <s v="Nolan Pena"/>
    <x v="21"/>
    <x v="4"/>
    <x v="2"/>
    <x v="0"/>
    <s v="Latino"/>
    <n v="30"/>
    <x v="3"/>
    <x v="802"/>
    <n v="56154"/>
    <x v="6"/>
    <x v="12"/>
    <x v="134"/>
    <s v=""/>
  </r>
  <r>
    <s v="E02532"/>
    <s v="Ava Garza"/>
    <x v="1"/>
    <x v="6"/>
    <x v="2"/>
    <x v="1"/>
    <s v="Latino"/>
    <n v="27"/>
    <x v="3"/>
    <x v="803"/>
    <n v="174097"/>
    <x v="10"/>
    <x v="11"/>
    <x v="132"/>
    <s v=""/>
  </r>
  <r>
    <s v="E04536"/>
    <s v="Gabriel Carter"/>
    <x v="32"/>
    <x v="0"/>
    <x v="2"/>
    <x v="0"/>
    <s v="Caucasian"/>
    <n v="57"/>
    <x v="0"/>
    <x v="804"/>
    <n v="71167"/>
    <x v="12"/>
    <x v="11"/>
    <x v="137"/>
    <s v=""/>
  </r>
  <r>
    <s v="E02528"/>
    <s v="Eva Estrada"/>
    <x v="10"/>
    <x v="1"/>
    <x v="3"/>
    <x v="1"/>
    <s v="Latino"/>
    <n v="45"/>
    <x v="2"/>
    <x v="805"/>
    <n v="148991"/>
    <x v="11"/>
    <x v="12"/>
    <x v="134"/>
    <s v=""/>
  </r>
  <r>
    <s v="E04537"/>
    <s v="Luna Taylor"/>
    <x v="30"/>
    <x v="2"/>
    <x v="2"/>
    <x v="1"/>
    <s v="Caucasian"/>
    <n v="47"/>
    <x v="0"/>
    <x v="806"/>
    <n v="87806"/>
    <x v="1"/>
    <x v="11"/>
    <x v="140"/>
    <s v=""/>
  </r>
  <r>
    <s v="E02524"/>
    <s v="Parker Allen"/>
    <x v="4"/>
    <x v="1"/>
    <x v="3"/>
    <x v="0"/>
    <s v="Caucasian"/>
    <n v="31"/>
    <x v="2"/>
    <x v="807"/>
    <n v="81828"/>
    <x v="11"/>
    <x v="11"/>
    <x v="133"/>
    <s v=""/>
  </r>
  <r>
    <s v="E04538"/>
    <s v="Logan Soto"/>
    <x v="12"/>
    <x v="5"/>
    <x v="0"/>
    <x v="0"/>
    <s v="Latino"/>
    <n v="36"/>
    <x v="2"/>
    <x v="808"/>
    <n v="223404"/>
    <x v="11"/>
    <x v="11"/>
    <x v="137"/>
    <s v=""/>
  </r>
  <r>
    <s v="E02516"/>
    <s v="Santiago f Gray"/>
    <x v="22"/>
    <x v="0"/>
    <x v="1"/>
    <x v="0"/>
    <s v="Caucasian"/>
    <n v="27"/>
    <x v="3"/>
    <x v="809"/>
    <n v="80745"/>
    <x v="0"/>
    <x v="11"/>
    <x v="135"/>
    <s v=""/>
  </r>
  <r>
    <s v="E04540"/>
    <s v="Jaxson Santiago"/>
    <x v="0"/>
    <x v="0"/>
    <x v="0"/>
    <x v="0"/>
    <s v="Latino"/>
    <n v="56"/>
    <x v="0"/>
    <x v="810"/>
    <n v="78938"/>
    <x v="1"/>
    <x v="11"/>
    <x v="132"/>
    <s v=""/>
  </r>
  <r>
    <s v="E02512"/>
    <s v="Charles Gonzalez"/>
    <x v="22"/>
    <x v="0"/>
    <x v="0"/>
    <x v="0"/>
    <s v="Latino"/>
    <n v="27"/>
    <x v="3"/>
    <x v="811"/>
    <n v="64247"/>
    <x v="5"/>
    <x v="12"/>
    <x v="139"/>
    <s v=""/>
  </r>
  <r>
    <s v="E04541"/>
    <s v="Clara Sanchez"/>
    <x v="14"/>
    <x v="0"/>
    <x v="1"/>
    <x v="1"/>
    <s v="Latino"/>
    <n v="47"/>
    <x v="0"/>
    <x v="812"/>
    <n v="111404"/>
    <x v="2"/>
    <x v="12"/>
    <x v="139"/>
    <s v=""/>
  </r>
  <r>
    <s v="E02508"/>
    <s v="Audrey Richardson"/>
    <x v="1"/>
    <x v="2"/>
    <x v="2"/>
    <x v="1"/>
    <s v="Caucasian"/>
    <n v="46"/>
    <x v="0"/>
    <x v="813"/>
    <n v="166259"/>
    <x v="11"/>
    <x v="11"/>
    <x v="135"/>
    <s v=""/>
  </r>
  <r>
    <s v="E04542"/>
    <s v="Elena Mendoza"/>
    <x v="1"/>
    <x v="1"/>
    <x v="3"/>
    <x v="1"/>
    <s v="Latino"/>
    <n v="27"/>
    <x v="3"/>
    <x v="814"/>
    <n v="154973"/>
    <x v="7"/>
    <x v="12"/>
    <x v="134"/>
    <s v=""/>
  </r>
  <r>
    <s v="E02504"/>
    <s v="Brooklyn Collins"/>
    <x v="10"/>
    <x v="5"/>
    <x v="1"/>
    <x v="1"/>
    <s v="Black"/>
    <n v="59"/>
    <x v="0"/>
    <x v="815"/>
    <n v="139208"/>
    <x v="10"/>
    <x v="11"/>
    <x v="136"/>
    <s v=""/>
  </r>
  <r>
    <s v="E04543"/>
    <s v="Elena Patterson"/>
    <x v="12"/>
    <x v="5"/>
    <x v="3"/>
    <x v="1"/>
    <s v="Black"/>
    <n v="38"/>
    <x v="2"/>
    <x v="816"/>
    <n v="223805"/>
    <x v="11"/>
    <x v="11"/>
    <x v="135"/>
    <s v=""/>
  </r>
  <r>
    <s v="E02500"/>
    <s v="Kinsley Collins"/>
    <x v="33"/>
    <x v="0"/>
    <x v="3"/>
    <x v="1"/>
    <s v="Caucasian"/>
    <n v="28"/>
    <x v="3"/>
    <x v="817"/>
    <n v="115854"/>
    <x v="2"/>
    <x v="11"/>
    <x v="132"/>
    <s v=""/>
  </r>
  <r>
    <s v="E04544"/>
    <s v="Austin Rojas"/>
    <x v="12"/>
    <x v="5"/>
    <x v="1"/>
    <x v="0"/>
    <s v="Latino"/>
    <n v="29"/>
    <x v="3"/>
    <x v="818"/>
    <n v="199504"/>
    <x v="5"/>
    <x v="11"/>
    <x v="136"/>
    <s v=""/>
  </r>
  <r>
    <s v="E02496"/>
    <s v="Lillian Romero"/>
    <x v="1"/>
    <x v="0"/>
    <x v="1"/>
    <x v="1"/>
    <s v="Latino"/>
    <n v="27"/>
    <x v="3"/>
    <x v="819"/>
    <n v="170164"/>
    <x v="8"/>
    <x v="11"/>
    <x v="136"/>
    <s v=""/>
  </r>
  <r>
    <s v="E04545"/>
    <s v="Gabriel Brooks"/>
    <x v="19"/>
    <x v="2"/>
    <x v="2"/>
    <x v="0"/>
    <s v="Caucasian"/>
    <n v="29"/>
    <x v="3"/>
    <x v="820"/>
    <n v="84596"/>
    <x v="11"/>
    <x v="11"/>
    <x v="133"/>
    <s v=""/>
  </r>
  <r>
    <s v="E02492"/>
    <s v="Cameron Evans"/>
    <x v="32"/>
    <x v="0"/>
    <x v="1"/>
    <x v="0"/>
    <s v="Caucasian"/>
    <n v="50"/>
    <x v="0"/>
    <x v="821"/>
    <n v="63098"/>
    <x v="3"/>
    <x v="11"/>
    <x v="137"/>
    <s v=""/>
  </r>
  <r>
    <s v="E04546"/>
    <s v="Ruby Medina"/>
    <x v="1"/>
    <x v="1"/>
    <x v="2"/>
    <x v="1"/>
    <s v="Latino"/>
    <n v="50"/>
    <x v="0"/>
    <x v="822"/>
    <n v="155351"/>
    <x v="8"/>
    <x v="11"/>
    <x v="140"/>
    <s v=""/>
  </r>
  <r>
    <s v="E02488"/>
    <s v="Piper Lewis"/>
    <x v="3"/>
    <x v="0"/>
    <x v="0"/>
    <x v="1"/>
    <s v="Caucasian"/>
    <n v="33"/>
    <x v="2"/>
    <x v="823"/>
    <n v="83990"/>
    <x v="12"/>
    <x v="11"/>
    <x v="135"/>
    <s v=""/>
  </r>
  <r>
    <s v="E04547"/>
    <s v="Kennedy Romero"/>
    <x v="0"/>
    <x v="0"/>
    <x v="0"/>
    <x v="1"/>
    <s v="Latino"/>
    <n v="37"/>
    <x v="2"/>
    <x v="824"/>
    <n v="87359"/>
    <x v="4"/>
    <x v="12"/>
    <x v="139"/>
    <s v=""/>
  </r>
  <r>
    <s v="E02484"/>
    <s v="Natalia Salazar"/>
    <x v="4"/>
    <x v="6"/>
    <x v="2"/>
    <x v="1"/>
    <s v="Latino"/>
    <n v="44"/>
    <x v="2"/>
    <x v="825"/>
    <n v="74691"/>
    <x v="11"/>
    <x v="12"/>
    <x v="138"/>
    <d v="2020-07-08T00:00:00"/>
  </r>
  <r>
    <s v="E04548"/>
    <s v="Wesley King"/>
    <x v="7"/>
    <x v="6"/>
    <x v="2"/>
    <x v="0"/>
    <s v="Caucasian"/>
    <n v="57"/>
    <x v="0"/>
    <x v="826"/>
    <n v="101577"/>
    <x v="7"/>
    <x v="11"/>
    <x v="135"/>
    <s v=""/>
  </r>
  <r>
    <s v="E02480"/>
    <s v="Joseph Vazquez"/>
    <x v="10"/>
    <x v="6"/>
    <x v="3"/>
    <x v="0"/>
    <s v="Latino"/>
    <n v="40"/>
    <x v="2"/>
    <x v="827"/>
    <n v="159031"/>
    <x v="12"/>
    <x v="11"/>
    <x v="133"/>
    <s v=""/>
  </r>
  <r>
    <s v="E04549"/>
    <s v="Peyton Vasquez"/>
    <x v="21"/>
    <x v="6"/>
    <x v="1"/>
    <x v="1"/>
    <s v="Latino"/>
    <n v="26"/>
    <x v="3"/>
    <x v="828"/>
    <n v="55767"/>
    <x v="4"/>
    <x v="11"/>
    <x v="132"/>
    <s v=""/>
  </r>
  <r>
    <s v="E01239"/>
    <s v="Easton Bailey"/>
    <x v="7"/>
    <x v="6"/>
    <x v="2"/>
    <x v="0"/>
    <s v="Caucasian"/>
    <n v="29"/>
    <x v="3"/>
    <x v="829"/>
    <n v="113527"/>
    <x v="10"/>
    <x v="11"/>
    <x v="136"/>
    <s v=""/>
  </r>
  <r>
    <s v="E03568"/>
    <s v="Jade Rojas"/>
    <x v="1"/>
    <x v="5"/>
    <x v="3"/>
    <x v="1"/>
    <s v="Latino"/>
    <n v="37"/>
    <x v="2"/>
    <x v="830"/>
    <n v="165927"/>
    <x v="5"/>
    <x v="11"/>
    <x v="132"/>
    <s v=""/>
  </r>
  <r>
    <s v="E04219"/>
    <s v="William Walker"/>
    <x v="27"/>
    <x v="2"/>
    <x v="0"/>
    <x v="0"/>
    <s v="Black"/>
    <n v="40"/>
    <x v="2"/>
    <x v="831"/>
    <n v="95899"/>
    <x v="0"/>
    <x v="11"/>
    <x v="137"/>
    <d v="2021-03-08T00:00:00"/>
  </r>
  <r>
    <s v="E04893"/>
    <s v="Natalia Santos"/>
    <x v="12"/>
    <x v="3"/>
    <x v="3"/>
    <x v="1"/>
    <s v="Latino"/>
    <n v="45"/>
    <x v="2"/>
    <x v="832"/>
    <n v="249801"/>
    <x v="12"/>
    <x v="12"/>
    <x v="134"/>
    <s v=""/>
  </r>
  <r>
    <s v="E02874"/>
    <s v="Greyson Sanders"/>
    <x v="8"/>
    <x v="2"/>
    <x v="3"/>
    <x v="0"/>
    <s v="Black"/>
    <n v="28"/>
    <x v="3"/>
    <x v="833"/>
    <n v="90304"/>
    <x v="11"/>
    <x v="11"/>
    <x v="135"/>
    <s v=""/>
  </r>
  <r>
    <s v="E01863"/>
    <s v="Claire Jones"/>
    <x v="3"/>
    <x v="0"/>
    <x v="1"/>
    <x v="1"/>
    <s v="Caucasian"/>
    <n v="39"/>
    <x v="2"/>
    <x v="834"/>
    <n v="62644"/>
    <x v="7"/>
    <x v="11"/>
    <x v="140"/>
    <s v=""/>
  </r>
  <r>
    <s v="E04911"/>
    <s v="Connor Walker"/>
    <x v="16"/>
    <x v="5"/>
    <x v="2"/>
    <x v="0"/>
    <s v="Caucasian"/>
    <n v="30"/>
    <x v="3"/>
    <x v="321"/>
    <n v="54714"/>
    <x v="2"/>
    <x v="11"/>
    <x v="137"/>
    <s v=""/>
  </r>
  <r>
    <s v="E01165"/>
    <s v="Jeremiah Hernandez"/>
    <x v="19"/>
    <x v="2"/>
    <x v="2"/>
    <x v="0"/>
    <s v="Latino"/>
    <n v="26"/>
    <x v="3"/>
    <x v="835"/>
    <n v="74467"/>
    <x v="0"/>
    <x v="11"/>
    <x v="137"/>
    <d v="2021-01-15T00:00:00"/>
  </r>
  <r>
    <s v="E02935"/>
    <s v="Amelia Salazar"/>
    <x v="16"/>
    <x v="5"/>
    <x v="1"/>
    <x v="1"/>
    <s v="Latino"/>
    <n v="26"/>
    <x v="3"/>
    <x v="836"/>
    <n v="59817"/>
    <x v="12"/>
    <x v="12"/>
    <x v="134"/>
    <s v=""/>
  </r>
  <r>
    <s v="E03690"/>
    <s v="Madeline Garcia"/>
    <x v="6"/>
    <x v="3"/>
    <x v="3"/>
    <x v="1"/>
    <s v="Latino"/>
    <n v="45"/>
    <x v="2"/>
    <x v="324"/>
    <n v="74891"/>
    <x v="1"/>
    <x v="12"/>
    <x v="139"/>
    <s v=""/>
  </r>
  <r>
    <s v="E03121"/>
    <s v="Carter Mejia"/>
    <x v="10"/>
    <x v="3"/>
    <x v="0"/>
    <x v="0"/>
    <s v="Latino"/>
    <n v="29"/>
    <x v="3"/>
    <x v="837"/>
    <n v="125828"/>
    <x v="11"/>
    <x v="12"/>
    <x v="134"/>
    <s v=""/>
  </r>
  <r>
    <s v="E04636"/>
    <s v="Andrew Coleman"/>
    <x v="1"/>
    <x v="5"/>
    <x v="1"/>
    <x v="0"/>
    <s v="Caucasian"/>
    <n v="41"/>
    <x v="2"/>
    <x v="838"/>
    <n v="174415"/>
    <x v="12"/>
    <x v="11"/>
    <x v="133"/>
    <s v=""/>
  </r>
  <r>
    <s v="E04752"/>
    <s v="Sadie Washington"/>
    <x v="10"/>
    <x v="4"/>
    <x v="0"/>
    <x v="1"/>
    <s v="Caucasian"/>
    <n v="29"/>
    <x v="3"/>
    <x v="839"/>
    <n v="122350"/>
    <x v="6"/>
    <x v="11"/>
    <x v="132"/>
    <s v=""/>
  </r>
  <r>
    <s v="E02749"/>
    <s v="Kinsley Dixon"/>
    <x v="21"/>
    <x v="6"/>
    <x v="2"/>
    <x v="1"/>
    <s v="Caucasian"/>
    <n v="28"/>
    <x v="3"/>
    <x v="840"/>
    <n v="45819"/>
    <x v="5"/>
    <x v="11"/>
    <x v="133"/>
    <s v=""/>
  </r>
  <r>
    <s v="E04024"/>
    <s v="Nathan Miller"/>
    <x v="22"/>
    <x v="0"/>
    <x v="3"/>
    <x v="0"/>
    <s v="Black"/>
    <n v="27"/>
    <x v="3"/>
    <x v="841"/>
    <n v="70110"/>
    <x v="1"/>
    <x v="11"/>
    <x v="133"/>
    <d v="2021-01-07T00:00:00"/>
  </r>
  <r>
    <s v="E02709"/>
    <s v="Andrew Reed"/>
    <x v="13"/>
    <x v="2"/>
    <x v="1"/>
    <x v="0"/>
    <s v="Black"/>
    <n v="28"/>
    <x v="3"/>
    <x v="842"/>
    <n v="65341"/>
    <x v="6"/>
    <x v="11"/>
    <x v="133"/>
    <d v="2022-04-11T00:00:00"/>
  </r>
  <r>
    <s v="E01458"/>
    <s v="Piper Patterson"/>
    <x v="22"/>
    <x v="0"/>
    <x v="1"/>
    <x v="1"/>
    <s v="Caucasian"/>
    <n v="45"/>
    <x v="2"/>
    <x v="843"/>
    <n v="88045"/>
    <x v="4"/>
    <x v="11"/>
    <x v="135"/>
    <s v=""/>
  </r>
  <r>
    <s v="E03787"/>
    <s v="Angel Stewart"/>
    <x v="12"/>
    <x v="5"/>
    <x v="1"/>
    <x v="0"/>
    <s v="Caucasian"/>
    <n v="28"/>
    <x v="3"/>
    <x v="844"/>
    <n v="250767"/>
    <x v="11"/>
    <x v="11"/>
    <x v="140"/>
    <s v=""/>
  </r>
  <r>
    <s v="E03563"/>
    <s v="Eliza Hernandez"/>
    <x v="20"/>
    <x v="2"/>
    <x v="1"/>
    <x v="1"/>
    <s v="Latino"/>
    <n v="48"/>
    <x v="0"/>
    <x v="845"/>
    <n v="76588"/>
    <x v="2"/>
    <x v="12"/>
    <x v="139"/>
    <s v=""/>
  </r>
  <r>
    <s v="E02262"/>
    <s v="Isla Guzman"/>
    <x v="10"/>
    <x v="6"/>
    <x v="3"/>
    <x v="1"/>
    <s v="Latino"/>
    <n v="28"/>
    <x v="3"/>
    <x v="846"/>
    <n v="152036"/>
    <x v="7"/>
    <x v="12"/>
    <x v="139"/>
    <s v=""/>
  </r>
  <r>
    <s v="E04731"/>
    <s v="Maverick Henry"/>
    <x v="27"/>
    <x v="2"/>
    <x v="0"/>
    <x v="0"/>
    <s v="Caucasian"/>
    <n v="26"/>
    <x v="3"/>
    <x v="847"/>
    <n v="69110"/>
    <x v="3"/>
    <x v="11"/>
    <x v="135"/>
    <s v=""/>
  </r>
  <r>
    <s v="E01910"/>
    <s v="Peyton Walker"/>
    <x v="21"/>
    <x v="4"/>
    <x v="0"/>
    <x v="1"/>
    <s v="Caucasian"/>
    <n v="43"/>
    <x v="2"/>
    <x v="848"/>
    <n v="41545"/>
    <x v="6"/>
    <x v="11"/>
    <x v="133"/>
    <s v=""/>
  </r>
  <r>
    <s v="E03576"/>
    <s v="Samantha Foster"/>
    <x v="12"/>
    <x v="3"/>
    <x v="0"/>
    <x v="1"/>
    <s v="Black"/>
    <n v="34"/>
    <x v="2"/>
    <x v="849"/>
    <n v="220937"/>
    <x v="5"/>
    <x v="11"/>
    <x v="136"/>
    <s v=""/>
  </r>
  <r>
    <s v="E02595"/>
    <s v="Mason Jimenez"/>
    <x v="10"/>
    <x v="5"/>
    <x v="3"/>
    <x v="0"/>
    <s v="Latino"/>
    <n v="44"/>
    <x v="2"/>
    <x v="850"/>
    <n v="130133"/>
    <x v="11"/>
    <x v="11"/>
    <x v="136"/>
    <d v="2022-05-18T00:00:00"/>
  </r>
  <r>
    <s v="E04110"/>
    <s v="Vivian Hunter"/>
    <x v="17"/>
    <x v="1"/>
    <x v="1"/>
    <x v="1"/>
    <s v="Black"/>
    <n v="26"/>
    <x v="3"/>
    <x v="851"/>
    <n v="66084"/>
    <x v="5"/>
    <x v="11"/>
    <x v="140"/>
    <s v=""/>
  </r>
  <r>
    <s v="E02477"/>
    <s v="Christopher Howard"/>
    <x v="26"/>
    <x v="2"/>
    <x v="3"/>
    <x v="0"/>
    <s v="Caucasian"/>
    <n v="61"/>
    <x v="1"/>
    <x v="852"/>
    <n v="75780"/>
    <x v="3"/>
    <x v="11"/>
    <x v="140"/>
    <s v=""/>
  </r>
  <r>
    <s v="E02850"/>
    <s v="Leonardo Dixon"/>
    <x v="21"/>
    <x v="1"/>
    <x v="3"/>
    <x v="0"/>
    <s v="Caucasian"/>
    <n v="37"/>
    <x v="2"/>
    <x v="853"/>
    <n v="49998"/>
    <x v="0"/>
    <x v="11"/>
    <x v="140"/>
    <s v=""/>
  </r>
  <r>
    <s v="E03555"/>
    <s v="Hannah Nelson"/>
    <x v="4"/>
    <x v="4"/>
    <x v="3"/>
    <x v="1"/>
    <s v="Caucasian"/>
    <n v="35"/>
    <x v="2"/>
    <x v="854"/>
    <n v="70992"/>
    <x v="12"/>
    <x v="11"/>
    <x v="136"/>
    <s v=""/>
  </r>
  <r>
    <s v="E02614"/>
    <s v="Avery Dominguez"/>
    <x v="10"/>
    <x v="1"/>
    <x v="1"/>
    <x v="1"/>
    <s v="Latino"/>
    <n v="27"/>
    <x v="3"/>
    <x v="855"/>
    <n v="133297"/>
    <x v="11"/>
    <x v="12"/>
    <x v="139"/>
    <s v=""/>
  </r>
  <r>
    <s v="E03441"/>
    <s v="Brooks Marquez"/>
    <x v="12"/>
    <x v="1"/>
    <x v="1"/>
    <x v="0"/>
    <s v="Latino"/>
    <n v="61"/>
    <x v="1"/>
    <x v="856"/>
    <n v="201464"/>
    <x v="0"/>
    <x v="11"/>
    <x v="135"/>
    <s v=""/>
  </r>
  <r>
    <s v="E01372"/>
    <s v="Penelope Jordan"/>
    <x v="27"/>
    <x v="2"/>
    <x v="2"/>
    <x v="1"/>
    <s v="Caucasian"/>
    <n v="26"/>
    <x v="3"/>
    <x v="857"/>
    <n v="84913"/>
    <x v="11"/>
    <x v="11"/>
    <x v="135"/>
    <s v=""/>
  </r>
  <r>
    <s v="E01923"/>
    <s v="Harper Alexander"/>
    <x v="4"/>
    <x v="1"/>
    <x v="3"/>
    <x v="1"/>
    <s v="Caucasian"/>
    <n v="26"/>
    <x v="3"/>
    <x v="858"/>
    <n v="79356"/>
    <x v="3"/>
    <x v="11"/>
    <x v="132"/>
    <s v=""/>
  </r>
  <r>
    <s v="E02142"/>
    <s v="Caleb Marquez"/>
    <x v="23"/>
    <x v="2"/>
    <x v="0"/>
    <x v="0"/>
    <s v="Latino"/>
    <n v="29"/>
    <x v="3"/>
    <x v="859"/>
    <n v="66819"/>
    <x v="2"/>
    <x v="12"/>
    <x v="139"/>
    <s v=""/>
  </r>
  <r>
    <s v="E04704"/>
    <s v="Jose Richardson"/>
    <x v="1"/>
    <x v="4"/>
    <x v="0"/>
    <x v="0"/>
    <s v="Caucasian"/>
    <n v="26"/>
    <x v="3"/>
    <x v="859"/>
    <n v="151556"/>
    <x v="4"/>
    <x v="11"/>
    <x v="133"/>
    <s v=""/>
  </r>
  <r>
    <s v="E03141"/>
    <s v="Riley Marquez"/>
    <x v="10"/>
    <x v="5"/>
    <x v="0"/>
    <x v="1"/>
    <s v="Latino"/>
    <n v="39"/>
    <x v="2"/>
    <x v="860"/>
    <n v="122829"/>
    <x v="3"/>
    <x v="11"/>
    <x v="135"/>
    <s v=""/>
  </r>
  <r>
    <s v="E02467"/>
    <s v="Jackson Perry"/>
    <x v="12"/>
    <x v="4"/>
    <x v="0"/>
    <x v="0"/>
    <s v="Caucasian"/>
    <n v="27"/>
    <x v="3"/>
    <x v="861"/>
    <n v="256420"/>
    <x v="3"/>
    <x v="11"/>
    <x v="132"/>
    <s v=""/>
  </r>
  <r>
    <s v="E04937"/>
    <s v="Bella Butler"/>
    <x v="10"/>
    <x v="5"/>
    <x v="2"/>
    <x v="1"/>
    <s v="Black"/>
    <n v="33"/>
    <x v="2"/>
    <x v="332"/>
    <n v="131652"/>
    <x v="5"/>
    <x v="11"/>
    <x v="140"/>
    <s v=""/>
  </r>
  <r>
    <s v="E01439"/>
    <s v="Hudson Hill"/>
    <x v="4"/>
    <x v="1"/>
    <x v="0"/>
    <x v="0"/>
    <s v="Caucasian"/>
    <n v="30"/>
    <x v="3"/>
    <x v="862"/>
    <n v="96092"/>
    <x v="10"/>
    <x v="11"/>
    <x v="136"/>
    <s v=""/>
  </r>
  <r>
    <s v="E04688"/>
    <s v="Sebastian Rogers"/>
    <x v="28"/>
    <x v="3"/>
    <x v="0"/>
    <x v="0"/>
    <s v="Caucasian"/>
    <n v="38"/>
    <x v="2"/>
    <x v="863"/>
    <n v="69647"/>
    <x v="3"/>
    <x v="11"/>
    <x v="133"/>
    <d v="2022-04-20T00:00:00"/>
  </r>
  <r>
    <s v="E02301"/>
    <s v="Ian Flores"/>
    <x v="1"/>
    <x v="0"/>
    <x v="1"/>
    <x v="0"/>
    <s v="Latino"/>
    <n v="48"/>
    <x v="0"/>
    <x v="864"/>
    <n v="183113"/>
    <x v="7"/>
    <x v="12"/>
    <x v="139"/>
    <s v=""/>
  </r>
  <r>
    <s v="E04624"/>
    <s v="Brooklyn Reyes"/>
    <x v="24"/>
    <x v="2"/>
    <x v="2"/>
    <x v="1"/>
    <s v="Latino"/>
    <n v="36"/>
    <x v="2"/>
    <x v="865"/>
    <n v="91954"/>
    <x v="7"/>
    <x v="11"/>
    <x v="137"/>
    <s v=""/>
  </r>
  <r>
    <s v="E03314"/>
    <s v="Ella Jenkins"/>
    <x v="16"/>
    <x v="5"/>
    <x v="3"/>
    <x v="1"/>
    <s v="Caucasian"/>
    <n v="52"/>
    <x v="0"/>
    <x v="866"/>
    <n v="61026"/>
    <x v="0"/>
    <x v="11"/>
    <x v="132"/>
    <s v=""/>
  </r>
  <r>
    <s v="E02569"/>
    <s v="Samantha Woods"/>
    <x v="21"/>
    <x v="6"/>
    <x v="3"/>
    <x v="1"/>
    <s v="Caucasian"/>
    <n v="56"/>
    <x v="0"/>
    <x v="867"/>
    <n v="54829"/>
    <x v="4"/>
    <x v="11"/>
    <x v="132"/>
    <s v=""/>
  </r>
  <r>
    <s v="E02521"/>
    <s v="Emily Clark"/>
    <x v="12"/>
    <x v="6"/>
    <x v="1"/>
    <x v="1"/>
    <s v="Caucasian"/>
    <n v="36"/>
    <x v="2"/>
    <x v="868"/>
    <n v="253294"/>
    <x v="7"/>
    <x v="11"/>
    <x v="133"/>
    <s v=""/>
  </r>
  <r>
    <s v="E04942"/>
    <s v="Adam Nelson"/>
    <x v="1"/>
    <x v="5"/>
    <x v="3"/>
    <x v="0"/>
    <s v="Caucasian"/>
    <n v="25"/>
    <x v="3"/>
    <x v="869"/>
    <n v="168014"/>
    <x v="12"/>
    <x v="11"/>
    <x v="135"/>
    <d v="2021-07-27T00:00:00"/>
  </r>
  <r>
    <s v="E03078"/>
    <s v="Samantha Rogers"/>
    <x v="21"/>
    <x v="4"/>
    <x v="3"/>
    <x v="1"/>
    <s v="Caucasian"/>
    <n v="28"/>
    <x v="3"/>
    <x v="870"/>
    <n v="45061"/>
    <x v="3"/>
    <x v="11"/>
    <x v="133"/>
    <s v=""/>
  </r>
  <r>
    <s v="E03948"/>
    <s v="Ella White"/>
    <x v="29"/>
    <x v="0"/>
    <x v="2"/>
    <x v="1"/>
    <s v="Caucasian"/>
    <n v="25"/>
    <x v="3"/>
    <x v="871"/>
    <n v="71359"/>
    <x v="10"/>
    <x v="11"/>
    <x v="132"/>
    <s v=""/>
  </r>
  <r>
    <s v="E04085"/>
    <s v="Madeline Allen"/>
    <x v="8"/>
    <x v="2"/>
    <x v="2"/>
    <x v="1"/>
    <s v="Caucasian"/>
    <n v="30"/>
    <x v="3"/>
    <x v="872"/>
    <n v="94652"/>
    <x v="11"/>
    <x v="11"/>
    <x v="140"/>
    <s v=""/>
  </r>
  <r>
    <s v="E03827"/>
    <s v="Henry Green"/>
    <x v="25"/>
    <x v="1"/>
    <x v="3"/>
    <x v="0"/>
    <s v="Caucasian"/>
    <n v="32"/>
    <x v="2"/>
    <x v="872"/>
    <n v="96598"/>
    <x v="5"/>
    <x v="11"/>
    <x v="132"/>
    <s v=""/>
  </r>
  <r>
    <s v="E03169"/>
    <s v="Jade Hunter"/>
    <x v="8"/>
    <x v="2"/>
    <x v="1"/>
    <x v="1"/>
    <s v="Caucasian"/>
    <n v="42"/>
    <x v="2"/>
    <x v="873"/>
    <n v="96636"/>
    <x v="10"/>
    <x v="11"/>
    <x v="137"/>
    <s v=""/>
  </r>
  <r>
    <s v="E02073"/>
    <s v="Ezekiel Delgado"/>
    <x v="1"/>
    <x v="0"/>
    <x v="3"/>
    <x v="0"/>
    <s v="Latino"/>
    <n v="40"/>
    <x v="2"/>
    <x v="874"/>
    <n v="187187"/>
    <x v="12"/>
    <x v="12"/>
    <x v="138"/>
    <s v=""/>
  </r>
  <r>
    <s v="E02798"/>
    <s v="Naomi Washington"/>
    <x v="7"/>
    <x v="2"/>
    <x v="3"/>
    <x v="1"/>
    <s v="Caucasian"/>
    <n v="51"/>
    <x v="0"/>
    <x v="875"/>
    <n v="107195"/>
    <x v="12"/>
    <x v="11"/>
    <x v="136"/>
    <s v=""/>
  </r>
  <r>
    <s v="E04855"/>
    <s v="Everleigh Adams"/>
    <x v="16"/>
    <x v="4"/>
    <x v="2"/>
    <x v="1"/>
    <s v="Caucasian"/>
    <n v="33"/>
    <x v="2"/>
    <x v="876"/>
    <n v="68846"/>
    <x v="5"/>
    <x v="11"/>
    <x v="135"/>
    <s v=""/>
  </r>
  <r>
    <s v="E03406"/>
    <s v="Allison Daniels"/>
    <x v="7"/>
    <x v="5"/>
    <x v="2"/>
    <x v="1"/>
    <s v="Caucasian"/>
    <n v="37"/>
    <x v="2"/>
    <x v="877"/>
    <n v="103524"/>
    <x v="10"/>
    <x v="11"/>
    <x v="132"/>
    <s v=""/>
  </r>
  <r>
    <s v="E02753"/>
    <s v="Jaxson Coleman"/>
    <x v="7"/>
    <x v="5"/>
    <x v="2"/>
    <x v="0"/>
    <s v="Caucasian"/>
    <n v="32"/>
    <x v="2"/>
    <x v="878"/>
    <n v="126671"/>
    <x v="3"/>
    <x v="11"/>
    <x v="133"/>
    <s v=""/>
  </r>
  <r>
    <s v="E03704"/>
    <s v="Allison Espinoza"/>
    <x v="31"/>
    <x v="2"/>
    <x v="3"/>
    <x v="1"/>
    <s v="Latino"/>
    <n v="45"/>
    <x v="2"/>
    <x v="344"/>
    <n v="66958"/>
    <x v="7"/>
    <x v="11"/>
    <x v="133"/>
    <s v=""/>
  </r>
  <r>
    <s v="E03661"/>
    <s v="Leo Owens"/>
    <x v="15"/>
    <x v="2"/>
    <x v="1"/>
    <x v="0"/>
    <s v="Caucasian"/>
    <n v="47"/>
    <x v="0"/>
    <x v="879"/>
    <n v="50069"/>
    <x v="4"/>
    <x v="11"/>
    <x v="140"/>
    <s v=""/>
  </r>
  <r>
    <s v="E04661"/>
    <s v="Lucy Johnson"/>
    <x v="7"/>
    <x v="2"/>
    <x v="0"/>
    <x v="1"/>
    <s v="Caucasian"/>
    <n v="57"/>
    <x v="0"/>
    <x v="880"/>
    <n v="103058"/>
    <x v="8"/>
    <x v="11"/>
    <x v="137"/>
    <s v=""/>
  </r>
  <r>
    <s v="E02094"/>
    <s v="Lydia Espinoza"/>
    <x v="10"/>
    <x v="4"/>
    <x v="3"/>
    <x v="1"/>
    <s v="Latino"/>
    <n v="29"/>
    <x v="3"/>
    <x v="881"/>
    <n v="137106"/>
    <x v="3"/>
    <x v="12"/>
    <x v="134"/>
    <s v=""/>
  </r>
  <r>
    <s v="E03869"/>
    <s v="Luke Martin"/>
    <x v="21"/>
    <x v="5"/>
    <x v="2"/>
    <x v="0"/>
    <s v="Black"/>
    <n v="25"/>
    <x v="3"/>
    <x v="882"/>
    <n v="41336"/>
    <x v="6"/>
    <x v="11"/>
    <x v="133"/>
    <d v="2021-05-20T00:00:00"/>
  </r>
  <r>
    <s v="E02853"/>
    <s v="Ian Barnes"/>
    <x v="9"/>
    <x v="0"/>
    <x v="1"/>
    <x v="0"/>
    <s v="Caucasian"/>
    <n v="47"/>
    <x v="0"/>
    <x v="883"/>
    <n v="115765"/>
    <x v="6"/>
    <x v="11"/>
    <x v="133"/>
    <d v="2021-02-02T00:00:00"/>
  </r>
  <r>
    <s v="E04062"/>
    <s v="Olivia Harris"/>
    <x v="1"/>
    <x v="1"/>
    <x v="3"/>
    <x v="1"/>
    <s v="Caucasian"/>
    <n v="63"/>
    <x v="1"/>
    <x v="884"/>
    <n v="181216"/>
    <x v="0"/>
    <x v="11"/>
    <x v="137"/>
    <s v=""/>
  </r>
  <r>
    <s v="E03290"/>
    <s v="Levi Moreno"/>
    <x v="15"/>
    <x v="2"/>
    <x v="0"/>
    <x v="0"/>
    <s v="Latino"/>
    <n v="64"/>
    <x v="1"/>
    <x v="885"/>
    <n v="40316"/>
    <x v="5"/>
    <x v="12"/>
    <x v="138"/>
    <s v=""/>
  </r>
  <r>
    <s v="E02127"/>
    <s v="Ruby Barnes"/>
    <x v="7"/>
    <x v="2"/>
    <x v="1"/>
    <x v="1"/>
    <s v="Caucasian"/>
    <n v="27"/>
    <x v="3"/>
    <x v="886"/>
    <n v="119746"/>
    <x v="0"/>
    <x v="11"/>
    <x v="132"/>
    <s v=""/>
  </r>
  <r>
    <s v="E04232"/>
    <s v="Julian Ross"/>
    <x v="7"/>
    <x v="4"/>
    <x v="0"/>
    <x v="0"/>
    <s v="Caucasian"/>
    <n v="51"/>
    <x v="0"/>
    <x v="887"/>
    <n v="100099"/>
    <x v="7"/>
    <x v="11"/>
    <x v="133"/>
    <s v=""/>
  </r>
  <r>
    <s v="E04795"/>
    <s v="Alexander Foster"/>
    <x v="16"/>
    <x v="4"/>
    <x v="2"/>
    <x v="0"/>
    <s v="Black"/>
    <n v="35"/>
    <x v="2"/>
    <x v="888"/>
    <n v="51513"/>
    <x v="12"/>
    <x v="11"/>
    <x v="137"/>
    <s v=""/>
  </r>
  <r>
    <s v="E01492"/>
    <s v="Asher Morales"/>
    <x v="33"/>
    <x v="0"/>
    <x v="0"/>
    <x v="0"/>
    <s v="Latino"/>
    <n v="52"/>
    <x v="0"/>
    <x v="889"/>
    <n v="88272"/>
    <x v="11"/>
    <x v="12"/>
    <x v="134"/>
    <s v=""/>
  </r>
  <r>
    <s v="E01808"/>
    <s v="Caroline Santos"/>
    <x v="16"/>
    <x v="5"/>
    <x v="0"/>
    <x v="1"/>
    <s v="Latino"/>
    <n v="25"/>
    <x v="3"/>
    <x v="890"/>
    <n v="56565"/>
    <x v="12"/>
    <x v="12"/>
    <x v="134"/>
    <s v=""/>
  </r>
  <r>
    <s v="E02778"/>
    <s v="Ellie Guerrero"/>
    <x v="10"/>
    <x v="3"/>
    <x v="1"/>
    <x v="1"/>
    <s v="Latino"/>
    <n v="29"/>
    <x v="3"/>
    <x v="891"/>
    <n v="141555"/>
    <x v="10"/>
    <x v="12"/>
    <x v="138"/>
    <s v=""/>
  </r>
  <r>
    <s v="E03511"/>
    <s v="Logan Bryant"/>
    <x v="10"/>
    <x v="4"/>
    <x v="3"/>
    <x v="0"/>
    <s v="Caucasian"/>
    <n v="30"/>
    <x v="3"/>
    <x v="892"/>
    <n v="148485"/>
    <x v="4"/>
    <x v="11"/>
    <x v="133"/>
    <s v=""/>
  </r>
  <r>
    <s v="E03685"/>
    <s v="Kinsley Acosta"/>
    <x v="12"/>
    <x v="2"/>
    <x v="3"/>
    <x v="1"/>
    <s v="Latino"/>
    <n v="32"/>
    <x v="2"/>
    <x v="893"/>
    <n v="192749"/>
    <x v="2"/>
    <x v="11"/>
    <x v="135"/>
    <s v=""/>
  </r>
  <r>
    <s v="E02154"/>
    <s v="Sadie Patterson"/>
    <x v="4"/>
    <x v="6"/>
    <x v="3"/>
    <x v="1"/>
    <s v="Caucasian"/>
    <n v="38"/>
    <x v="2"/>
    <x v="351"/>
    <n v="89390"/>
    <x v="5"/>
    <x v="11"/>
    <x v="140"/>
    <s v=""/>
  </r>
  <r>
    <s v="E04700"/>
    <s v="Lincoln Hall"/>
    <x v="1"/>
    <x v="6"/>
    <x v="3"/>
    <x v="0"/>
    <s v="Caucasian"/>
    <n v="26"/>
    <x v="3"/>
    <x v="894"/>
    <n v="180664"/>
    <x v="5"/>
    <x v="11"/>
    <x v="135"/>
    <s v=""/>
  </r>
  <r>
    <s v="E03847"/>
    <s v="Liam Jordan"/>
    <x v="27"/>
    <x v="2"/>
    <x v="2"/>
    <x v="0"/>
    <s v="Caucasian"/>
    <n v="28"/>
    <x v="3"/>
    <x v="895"/>
    <n v="73255"/>
    <x v="4"/>
    <x v="11"/>
    <x v="132"/>
    <s v=""/>
  </r>
  <r>
    <s v="E01325"/>
    <s v="Isaac Stewart"/>
    <x v="1"/>
    <x v="4"/>
    <x v="3"/>
    <x v="0"/>
    <s v="Caucasian"/>
    <n v="25"/>
    <x v="3"/>
    <x v="896"/>
    <n v="172007"/>
    <x v="9"/>
    <x v="11"/>
    <x v="133"/>
    <s v=""/>
  </r>
  <r>
    <s v="E04658"/>
    <s v="Nevaeh Jones"/>
    <x v="12"/>
    <x v="1"/>
    <x v="2"/>
    <x v="1"/>
    <s v="Caucasian"/>
    <n v="31"/>
    <x v="2"/>
    <x v="897"/>
    <n v="219693"/>
    <x v="6"/>
    <x v="11"/>
    <x v="136"/>
    <s v=""/>
  </r>
  <r>
    <s v="E04183"/>
    <s v="Jack Maldonado"/>
    <x v="1"/>
    <x v="0"/>
    <x v="0"/>
    <x v="0"/>
    <s v="Latino"/>
    <n v="31"/>
    <x v="2"/>
    <x v="898"/>
    <n v="189290"/>
    <x v="8"/>
    <x v="12"/>
    <x v="134"/>
    <d v="2020-09-25T00:00:00"/>
  </r>
  <r>
    <s v="E02181"/>
    <s v="Luna Simmons"/>
    <x v="4"/>
    <x v="5"/>
    <x v="1"/>
    <x v="1"/>
    <s v="Caucasian"/>
    <n v="28"/>
    <x v="3"/>
    <x v="899"/>
    <n v="95045"/>
    <x v="9"/>
    <x v="11"/>
    <x v="135"/>
    <s v=""/>
  </r>
  <r>
    <s v="E01858"/>
    <s v="Caroline Alexander"/>
    <x v="11"/>
    <x v="3"/>
    <x v="2"/>
    <x v="1"/>
    <s v="Black"/>
    <n v="42"/>
    <x v="2"/>
    <x v="900"/>
    <n v="47071"/>
    <x v="6"/>
    <x v="11"/>
    <x v="137"/>
    <s v=""/>
  </r>
  <r>
    <s v="E03524"/>
    <s v="Josephine Acosta"/>
    <x v="1"/>
    <x v="3"/>
    <x v="3"/>
    <x v="1"/>
    <s v="Latino"/>
    <n v="40"/>
    <x v="2"/>
    <x v="901"/>
    <n v="198176"/>
    <x v="12"/>
    <x v="12"/>
    <x v="138"/>
    <s v=""/>
  </r>
  <r>
    <s v="E04156"/>
    <s v="Jackson Jordan"/>
    <x v="11"/>
    <x v="3"/>
    <x v="0"/>
    <x v="0"/>
    <s v="Black"/>
    <n v="48"/>
    <x v="0"/>
    <x v="902"/>
    <n v="54654"/>
    <x v="3"/>
    <x v="11"/>
    <x v="132"/>
    <s v=""/>
  </r>
  <r>
    <s v="E04740"/>
    <s v="Addison Perez"/>
    <x v="9"/>
    <x v="0"/>
    <x v="3"/>
    <x v="1"/>
    <s v="Latino"/>
    <n v="29"/>
    <x v="3"/>
    <x v="903"/>
    <n v="123588"/>
    <x v="11"/>
    <x v="12"/>
    <x v="134"/>
    <s v=""/>
  </r>
  <r>
    <s v="E03546"/>
    <s v="Jackson Navarro"/>
    <x v="1"/>
    <x v="1"/>
    <x v="1"/>
    <x v="0"/>
    <s v="Latino"/>
    <n v="52"/>
    <x v="0"/>
    <x v="903"/>
    <n v="163143"/>
    <x v="0"/>
    <x v="12"/>
    <x v="134"/>
    <s v=""/>
  </r>
  <r>
    <s v="E04641"/>
    <s v="Landon Brown"/>
    <x v="12"/>
    <x v="4"/>
    <x v="1"/>
    <x v="0"/>
    <s v="Caucasian"/>
    <n v="26"/>
    <x v="3"/>
    <x v="904"/>
    <n v="223055"/>
    <x v="11"/>
    <x v="11"/>
    <x v="137"/>
    <s v=""/>
  </r>
  <r>
    <s v="E02239"/>
    <s v="Dominic Baker"/>
    <x v="4"/>
    <x v="6"/>
    <x v="2"/>
    <x v="0"/>
    <s v="Black"/>
    <n v="51"/>
    <x v="0"/>
    <x v="905"/>
    <n v="91853"/>
    <x v="2"/>
    <x v="11"/>
    <x v="135"/>
    <s v=""/>
  </r>
  <r>
    <s v="E04863"/>
    <s v="Hudson Thompson"/>
    <x v="16"/>
    <x v="6"/>
    <x v="2"/>
    <x v="0"/>
    <s v="Black"/>
    <n v="30"/>
    <x v="3"/>
    <x v="906"/>
    <n v="67753"/>
    <x v="1"/>
    <x v="11"/>
    <x v="132"/>
    <s v=""/>
  </r>
  <r>
    <s v="E02659"/>
    <s v="Kinsley Vega"/>
    <x v="12"/>
    <x v="6"/>
    <x v="1"/>
    <x v="1"/>
    <s v="Latino"/>
    <n v="33"/>
    <x v="2"/>
    <x v="907"/>
    <n v="258426"/>
    <x v="2"/>
    <x v="12"/>
    <x v="139"/>
    <s v=""/>
  </r>
  <r>
    <s v="E03039"/>
    <s v="Nolan Molina"/>
    <x v="27"/>
    <x v="2"/>
    <x v="1"/>
    <x v="0"/>
    <s v="Latino"/>
    <n v="36"/>
    <x v="2"/>
    <x v="908"/>
    <n v="70165"/>
    <x v="0"/>
    <x v="12"/>
    <x v="138"/>
    <s v=""/>
  </r>
  <r>
    <s v="E04675"/>
    <s v="Cora Rivera"/>
    <x v="4"/>
    <x v="4"/>
    <x v="1"/>
    <x v="1"/>
    <s v="Latino"/>
    <n v="42"/>
    <x v="2"/>
    <x v="909"/>
    <n v="94430"/>
    <x v="7"/>
    <x v="11"/>
    <x v="140"/>
    <s v=""/>
  </r>
  <r>
    <s v="E03733"/>
    <s v="Isaac Woods"/>
    <x v="7"/>
    <x v="1"/>
    <x v="1"/>
    <x v="0"/>
    <s v="Caucasian"/>
    <n v="28"/>
    <x v="3"/>
    <x v="910"/>
    <n v="108826"/>
    <x v="4"/>
    <x v="11"/>
    <x v="133"/>
    <s v=""/>
  </r>
  <r>
    <s v="E03013"/>
    <s v="Natalia Owens"/>
    <x v="7"/>
    <x v="3"/>
    <x v="2"/>
    <x v="1"/>
    <s v="Caucasian"/>
    <n v="31"/>
    <x v="2"/>
    <x v="911"/>
    <n v="104162"/>
    <x v="4"/>
    <x v="11"/>
    <x v="136"/>
    <s v=""/>
  </r>
  <r>
    <s v="E04564"/>
    <s v="Riley Rojas"/>
    <x v="20"/>
    <x v="2"/>
    <x v="3"/>
    <x v="1"/>
    <s v="Latino"/>
    <n v="36"/>
    <x v="2"/>
    <x v="361"/>
    <n v="90333"/>
    <x v="9"/>
    <x v="12"/>
    <x v="139"/>
    <s v=""/>
  </r>
  <r>
    <s v="E03283"/>
    <s v="Penelope Griffin"/>
    <x v="1"/>
    <x v="1"/>
    <x v="2"/>
    <x v="1"/>
    <s v="Caucasian"/>
    <n v="61"/>
    <x v="1"/>
    <x v="912"/>
    <n v="151783"/>
    <x v="6"/>
    <x v="11"/>
    <x v="140"/>
    <s v=""/>
  </r>
  <r>
    <s v="E02009"/>
    <s v="Melody Valdez"/>
    <x v="1"/>
    <x v="2"/>
    <x v="2"/>
    <x v="1"/>
    <s v="Latino"/>
    <n v="28"/>
    <x v="3"/>
    <x v="913"/>
    <n v="160385"/>
    <x v="0"/>
    <x v="11"/>
    <x v="133"/>
    <d v="2021-05-18T00:00:00"/>
  </r>
  <r>
    <s v="E02363"/>
    <s v="Gianna Williams"/>
    <x v="22"/>
    <x v="0"/>
    <x v="0"/>
    <x v="1"/>
    <s v="Black"/>
    <n v="27"/>
    <x v="3"/>
    <x v="914"/>
    <n v="95786"/>
    <x v="4"/>
    <x v="11"/>
    <x v="135"/>
    <s v=""/>
  </r>
  <r>
    <s v="E03461"/>
    <s v="Everleigh Nunez"/>
    <x v="3"/>
    <x v="0"/>
    <x v="3"/>
    <x v="1"/>
    <s v="Latino"/>
    <n v="42"/>
    <x v="2"/>
    <x v="915"/>
    <n v="65507"/>
    <x v="5"/>
    <x v="12"/>
    <x v="138"/>
    <s v=""/>
  </r>
  <r>
    <s v="E04719"/>
    <s v="Madeline Acosta"/>
    <x v="25"/>
    <x v="1"/>
    <x v="3"/>
    <x v="1"/>
    <s v="Latino"/>
    <n v="26"/>
    <x v="3"/>
    <x v="916"/>
    <n v="87427"/>
    <x v="12"/>
    <x v="12"/>
    <x v="134"/>
    <s v=""/>
  </r>
  <r>
    <s v="E02208"/>
    <s v="Thomas Aguilar"/>
    <x v="25"/>
    <x v="1"/>
    <x v="3"/>
    <x v="0"/>
    <s v="Latino"/>
    <n v="45"/>
    <x v="2"/>
    <x v="917"/>
    <n v="79882"/>
    <x v="9"/>
    <x v="11"/>
    <x v="132"/>
    <s v=""/>
  </r>
  <r>
    <s v="E02707"/>
    <s v="Ian Vargas"/>
    <x v="21"/>
    <x v="1"/>
    <x v="2"/>
    <x v="0"/>
    <s v="Latino"/>
    <n v="26"/>
    <x v="3"/>
    <x v="918"/>
    <n v="44732"/>
    <x v="8"/>
    <x v="12"/>
    <x v="139"/>
    <s v=""/>
  </r>
  <r>
    <s v="E04055"/>
    <s v="Layla Collins"/>
    <x v="23"/>
    <x v="2"/>
    <x v="3"/>
    <x v="1"/>
    <s v="Caucasian"/>
    <n v="26"/>
    <x v="3"/>
    <x v="367"/>
    <n v="74170"/>
    <x v="4"/>
    <x v="11"/>
    <x v="136"/>
    <s v=""/>
  </r>
  <r>
    <s v="E02870"/>
    <s v="Charles Robinson"/>
    <x v="28"/>
    <x v="3"/>
    <x v="3"/>
    <x v="0"/>
    <s v="Caucasian"/>
    <n v="26"/>
    <x v="3"/>
    <x v="919"/>
    <n v="70369"/>
    <x v="8"/>
    <x v="11"/>
    <x v="140"/>
    <s v=""/>
  </r>
  <r>
    <s v="E01479"/>
    <s v="Grace Carter"/>
    <x v="10"/>
    <x v="3"/>
    <x v="3"/>
    <x v="1"/>
    <s v="Black"/>
    <n v="25"/>
    <x v="3"/>
    <x v="920"/>
    <n v="155080"/>
    <x v="6"/>
    <x v="11"/>
    <x v="136"/>
    <s v=""/>
  </r>
  <r>
    <s v="E01386"/>
    <s v="Hailey Foster"/>
    <x v="14"/>
    <x v="0"/>
    <x v="2"/>
    <x v="1"/>
    <s v="Black"/>
    <n v="55"/>
    <x v="0"/>
    <x v="921"/>
    <n v="95562"/>
    <x v="10"/>
    <x v="11"/>
    <x v="135"/>
    <s v=""/>
  </r>
  <r>
    <s v="E03504"/>
    <s v="Vivian Barnes"/>
    <x v="1"/>
    <x v="3"/>
    <x v="0"/>
    <x v="1"/>
    <s v="Caucasian"/>
    <n v="51"/>
    <x v="0"/>
    <x v="922"/>
    <n v="180687"/>
    <x v="2"/>
    <x v="11"/>
    <x v="132"/>
    <s v=""/>
  </r>
  <r>
    <s v="E03305"/>
    <s v="Aiden Gonzales"/>
    <x v="12"/>
    <x v="4"/>
    <x v="3"/>
    <x v="0"/>
    <s v="Latino"/>
    <n v="44"/>
    <x v="2"/>
    <x v="922"/>
    <n v="186033"/>
    <x v="1"/>
    <x v="12"/>
    <x v="134"/>
    <s v=""/>
  </r>
  <r>
    <s v="E02729"/>
    <s v="Eva Rivera"/>
    <x v="1"/>
    <x v="1"/>
    <x v="2"/>
    <x v="1"/>
    <s v="Latino"/>
    <n v="36"/>
    <x v="2"/>
    <x v="923"/>
    <n v="151703"/>
    <x v="7"/>
    <x v="11"/>
    <x v="133"/>
    <s v=""/>
  </r>
  <r>
    <s v="E02168"/>
    <s v="Ian Gutierrez"/>
    <x v="6"/>
    <x v="3"/>
    <x v="0"/>
    <x v="0"/>
    <s v="Latino"/>
    <n v="32"/>
    <x v="2"/>
    <x v="924"/>
    <n v="70980"/>
    <x v="1"/>
    <x v="12"/>
    <x v="139"/>
    <s v=""/>
  </r>
  <r>
    <s v="E06913"/>
    <s v="Eva Garcia"/>
    <x v="28"/>
    <x v="3"/>
    <x v="1"/>
    <x v="1"/>
    <s v="Latino"/>
    <n v="31"/>
    <x v="2"/>
    <x v="925"/>
    <n v="72235"/>
    <x v="7"/>
    <x v="12"/>
    <x v="138"/>
    <s v=""/>
  </r>
  <r>
    <s v="E06416"/>
    <s v="Everleigh Simmons"/>
    <x v="21"/>
    <x v="5"/>
    <x v="2"/>
    <x v="1"/>
    <s v="Caucasian"/>
    <n v="55"/>
    <x v="0"/>
    <x v="371"/>
    <n v="48266"/>
    <x v="1"/>
    <x v="11"/>
    <x v="135"/>
    <s v=""/>
  </r>
  <r>
    <s v="E06403"/>
    <s v="Hazel Cortez"/>
    <x v="28"/>
    <x v="3"/>
    <x v="0"/>
    <x v="1"/>
    <s v="Latino"/>
    <n v="52"/>
    <x v="0"/>
    <x v="926"/>
    <n v="50548"/>
    <x v="0"/>
    <x v="12"/>
    <x v="134"/>
    <s v=""/>
  </r>
  <r>
    <s v="E07015"/>
    <s v="Benjamin Ford"/>
    <x v="16"/>
    <x v="5"/>
    <x v="3"/>
    <x v="0"/>
    <s v="Caucasian"/>
    <n v="31"/>
    <x v="2"/>
    <x v="927"/>
    <n v="74215"/>
    <x v="11"/>
    <x v="11"/>
    <x v="132"/>
    <s v=""/>
  </r>
  <r>
    <s v="E07968"/>
    <s v="Camila Cortez"/>
    <x v="7"/>
    <x v="4"/>
    <x v="2"/>
    <x v="1"/>
    <s v="Latino"/>
    <n v="29"/>
    <x v="3"/>
    <x v="928"/>
    <n v="129541"/>
    <x v="1"/>
    <x v="11"/>
    <x v="132"/>
    <d v="2021-05-24T00:00:00"/>
  </r>
  <r>
    <s v="E06755"/>
    <s v="Hannah Gomez"/>
    <x v="2"/>
    <x v="2"/>
    <x v="2"/>
    <x v="1"/>
    <s v="Latino"/>
    <n v="25"/>
    <x v="3"/>
    <x v="929"/>
    <n v="83934"/>
    <x v="7"/>
    <x v="11"/>
    <x v="133"/>
    <s v=""/>
  </r>
  <r>
    <s v="E07229"/>
    <s v="Lincoln Henderson"/>
    <x v="11"/>
    <x v="3"/>
    <x v="3"/>
    <x v="0"/>
    <s v="Caucasian"/>
    <n v="28"/>
    <x v="3"/>
    <x v="930"/>
    <n v="48510"/>
    <x v="12"/>
    <x v="11"/>
    <x v="135"/>
    <s v=""/>
  </r>
  <r>
    <s v="E06778"/>
    <s v="Emery Hunter"/>
    <x v="4"/>
    <x v="1"/>
    <x v="1"/>
    <x v="1"/>
    <s v="Caucasian"/>
    <n v="28"/>
    <x v="3"/>
    <x v="931"/>
    <n v="82739"/>
    <x v="11"/>
    <x v="11"/>
    <x v="132"/>
    <s v=""/>
  </r>
  <r>
    <s v="E06528"/>
    <s v="Madison Nelson"/>
    <x v="1"/>
    <x v="6"/>
    <x v="1"/>
    <x v="1"/>
    <s v="Caucasian"/>
    <n v="27"/>
    <x v="3"/>
    <x v="932"/>
    <n v="161759"/>
    <x v="4"/>
    <x v="11"/>
    <x v="133"/>
    <s v=""/>
  </r>
  <r>
    <s v="E06025"/>
    <s v="Jameson Foster"/>
    <x v="21"/>
    <x v="4"/>
    <x v="2"/>
    <x v="0"/>
    <s v="Caucasian"/>
    <n v="28"/>
    <x v="3"/>
    <x v="933"/>
    <n v="43391"/>
    <x v="9"/>
    <x v="11"/>
    <x v="137"/>
    <s v=""/>
  </r>
  <r>
    <s v="E06833"/>
    <s v="Willow Woods"/>
    <x v="12"/>
    <x v="3"/>
    <x v="3"/>
    <x v="1"/>
    <s v="Caucasian"/>
    <n v="28"/>
    <x v="3"/>
    <x v="934"/>
    <n v="231850"/>
    <x v="7"/>
    <x v="11"/>
    <x v="133"/>
    <s v=""/>
  </r>
  <r>
    <s v="E07112"/>
    <s v="Caroline Owens"/>
    <x v="1"/>
    <x v="2"/>
    <x v="3"/>
    <x v="1"/>
    <s v="Caucasian"/>
    <n v="26"/>
    <x v="3"/>
    <x v="380"/>
    <n v="151108"/>
    <x v="12"/>
    <x v="11"/>
    <x v="132"/>
    <s v=""/>
  </r>
  <r>
    <s v="E07834"/>
    <s v="Josiah Lewis"/>
    <x v="7"/>
    <x v="2"/>
    <x v="0"/>
    <x v="0"/>
    <s v="Caucasian"/>
    <n v="46"/>
    <x v="0"/>
    <x v="935"/>
    <n v="127559"/>
    <x v="1"/>
    <x v="11"/>
    <x v="136"/>
    <s v=""/>
  </r>
  <r>
    <s v="E06630"/>
    <s v="Penelope Coleman"/>
    <x v="21"/>
    <x v="5"/>
    <x v="1"/>
    <x v="1"/>
    <s v="Black"/>
    <n v="36"/>
    <x v="2"/>
    <x v="936"/>
    <n v="48906"/>
    <x v="1"/>
    <x v="11"/>
    <x v="133"/>
    <s v=""/>
  </r>
  <r>
    <s v="E07515"/>
    <s v="Leilani Butler"/>
    <x v="16"/>
    <x v="4"/>
    <x v="2"/>
    <x v="1"/>
    <s v="Black"/>
    <n v="27"/>
    <x v="3"/>
    <x v="937"/>
    <n v="68728"/>
    <x v="1"/>
    <x v="11"/>
    <x v="132"/>
    <s v=""/>
  </r>
  <r>
    <s v="E06440"/>
    <s v="Robert Vazquez"/>
    <x v="13"/>
    <x v="2"/>
    <x v="1"/>
    <x v="0"/>
    <s v="Latino"/>
    <n v="40"/>
    <x v="2"/>
    <x v="938"/>
    <n v="87770"/>
    <x v="12"/>
    <x v="11"/>
    <x v="136"/>
    <s v=""/>
  </r>
  <r>
    <s v="E07526"/>
    <s v="Alexander Bryant"/>
    <x v="3"/>
    <x v="0"/>
    <x v="3"/>
    <x v="0"/>
    <s v="Caucasian"/>
    <n v="30"/>
    <x v="3"/>
    <x v="939"/>
    <n v="88758"/>
    <x v="4"/>
    <x v="11"/>
    <x v="140"/>
    <s v=""/>
  </r>
  <r>
    <s v="E06204"/>
    <s v="Zoe Romero"/>
    <x v="20"/>
    <x v="2"/>
    <x v="2"/>
    <x v="1"/>
    <s v="Latino"/>
    <n v="32"/>
    <x v="2"/>
    <x v="940"/>
    <n v="88072"/>
    <x v="12"/>
    <x v="12"/>
    <x v="134"/>
    <s v=""/>
  </r>
  <r>
    <s v="E06090"/>
    <s v="Skylar Watson"/>
    <x v="20"/>
    <x v="2"/>
    <x v="3"/>
    <x v="1"/>
    <s v="Caucasian"/>
    <n v="28"/>
    <x v="3"/>
    <x v="941"/>
    <n v="64475"/>
    <x v="3"/>
    <x v="11"/>
    <x v="132"/>
    <s v=""/>
  </r>
  <r>
    <s v="E07027"/>
    <s v="David Herrera"/>
    <x v="0"/>
    <x v="0"/>
    <x v="3"/>
    <x v="0"/>
    <s v="Latino"/>
    <n v="32"/>
    <x v="2"/>
    <x v="942"/>
    <n v="102298"/>
    <x v="9"/>
    <x v="12"/>
    <x v="139"/>
    <s v=""/>
  </r>
  <r>
    <s v="E06759"/>
    <s v="Connor Grant"/>
    <x v="4"/>
    <x v="6"/>
    <x v="3"/>
    <x v="0"/>
    <s v="Caucasian"/>
    <n v="27"/>
    <x v="3"/>
    <x v="943"/>
    <n v="74077"/>
    <x v="8"/>
    <x v="11"/>
    <x v="140"/>
    <s v=""/>
  </r>
  <r>
    <s v="E07711"/>
    <s v="Matthew Howard"/>
    <x v="1"/>
    <x v="3"/>
    <x v="2"/>
    <x v="0"/>
    <s v="Caucasian"/>
    <n v="50"/>
    <x v="0"/>
    <x v="944"/>
    <n v="172180"/>
    <x v="6"/>
    <x v="11"/>
    <x v="137"/>
    <s v=""/>
  </r>
  <r>
    <s v="E07450"/>
    <s v="Camila Rogers"/>
    <x v="14"/>
    <x v="0"/>
    <x v="3"/>
    <x v="1"/>
    <s v="Caucasian"/>
    <n v="27"/>
    <x v="3"/>
    <x v="945"/>
    <n v="109851"/>
    <x v="9"/>
    <x v="11"/>
    <x v="140"/>
    <s v=""/>
  </r>
  <r>
    <s v="E06606"/>
    <s v="Isla Espinoza"/>
    <x v="7"/>
    <x v="6"/>
    <x v="3"/>
    <x v="1"/>
    <s v="Latino"/>
    <n v="38"/>
    <x v="2"/>
    <x v="946"/>
    <n v="109812"/>
    <x v="0"/>
    <x v="12"/>
    <x v="138"/>
    <s v=""/>
  </r>
  <r>
    <s v="E07766"/>
    <s v="Eliza Adams"/>
    <x v="17"/>
    <x v="1"/>
    <x v="2"/>
    <x v="1"/>
    <s v="Caucasian"/>
    <n v="26"/>
    <x v="3"/>
    <x v="947"/>
    <n v="63137"/>
    <x v="9"/>
    <x v="11"/>
    <x v="135"/>
    <s v=""/>
  </r>
  <r>
    <s v="E06513"/>
    <s v="Isabella Soto"/>
    <x v="12"/>
    <x v="5"/>
    <x v="1"/>
    <x v="1"/>
    <s v="Latino"/>
    <n v="27"/>
    <x v="3"/>
    <x v="391"/>
    <n v="255369"/>
    <x v="4"/>
    <x v="12"/>
    <x v="134"/>
    <s v=""/>
  </r>
  <r>
    <s v="E06801"/>
    <s v="Elias Figueroa"/>
    <x v="10"/>
    <x v="5"/>
    <x v="1"/>
    <x v="0"/>
    <s v="Latino"/>
    <n v="45"/>
    <x v="2"/>
    <x v="948"/>
    <n v="144754"/>
    <x v="11"/>
    <x v="11"/>
    <x v="132"/>
    <s v=""/>
  </r>
  <r>
    <s v="E07070"/>
    <s v="Levi Brown"/>
    <x v="4"/>
    <x v="1"/>
    <x v="1"/>
    <x v="0"/>
    <s v="Black"/>
    <n v="36"/>
    <x v="2"/>
    <x v="394"/>
    <n v="75119"/>
    <x v="5"/>
    <x v="11"/>
    <x v="135"/>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B84E61-19FF-4681-AC51-779EAD8B8D3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1:B39" firstHeaderRow="1" firstDataRow="1" firstDataCol="1"/>
  <pivotFields count="18">
    <pivotField showAll="0"/>
    <pivotField showAll="0"/>
    <pivotField showAll="0"/>
    <pivotField axis="axisRow" showAll="0">
      <items count="8">
        <item x="6"/>
        <item x="0"/>
        <item x="5"/>
        <item x="3"/>
        <item x="2"/>
        <item x="4"/>
        <item x="1"/>
        <item t="default"/>
      </items>
    </pivotField>
    <pivotField showAll="0"/>
    <pivotField showAll="0"/>
    <pivotField showAll="0"/>
    <pivotField showAll="0"/>
    <pivotField showAll="0"/>
    <pivotField numFmtId="14" showAll="0">
      <items count="950">
        <item x="0"/>
        <item x="1"/>
        <item x="395"/>
        <item x="396"/>
        <item x="2"/>
        <item x="397"/>
        <item x="398"/>
        <item x="399"/>
        <item x="3"/>
        <item x="400"/>
        <item x="401"/>
        <item x="402"/>
        <item x="403"/>
        <item x="404"/>
        <item x="405"/>
        <item x="4"/>
        <item x="5"/>
        <item x="406"/>
        <item x="6"/>
        <item x="407"/>
        <item x="408"/>
        <item x="7"/>
        <item x="409"/>
        <item x="410"/>
        <item x="411"/>
        <item x="412"/>
        <item x="8"/>
        <item x="413"/>
        <item x="414"/>
        <item x="9"/>
        <item x="10"/>
        <item x="415"/>
        <item x="416"/>
        <item x="11"/>
        <item x="12"/>
        <item x="417"/>
        <item x="13"/>
        <item x="418"/>
        <item x="419"/>
        <item x="420"/>
        <item x="14"/>
        <item x="421"/>
        <item x="422"/>
        <item x="15"/>
        <item x="423"/>
        <item x="16"/>
        <item x="424"/>
        <item x="17"/>
        <item x="18"/>
        <item x="19"/>
        <item x="425"/>
        <item x="20"/>
        <item x="21"/>
        <item x="22"/>
        <item x="426"/>
        <item x="427"/>
        <item x="428"/>
        <item x="23"/>
        <item x="429"/>
        <item x="430"/>
        <item x="24"/>
        <item x="431"/>
        <item x="432"/>
        <item x="433"/>
        <item x="434"/>
        <item x="435"/>
        <item x="25"/>
        <item x="436"/>
        <item x="437"/>
        <item x="26"/>
        <item x="438"/>
        <item x="439"/>
        <item x="27"/>
        <item x="440"/>
        <item x="28"/>
        <item x="29"/>
        <item x="441"/>
        <item x="442"/>
        <item x="443"/>
        <item x="30"/>
        <item x="31"/>
        <item x="444"/>
        <item x="445"/>
        <item x="446"/>
        <item x="447"/>
        <item x="32"/>
        <item x="33"/>
        <item x="34"/>
        <item x="448"/>
        <item x="35"/>
        <item x="449"/>
        <item x="450"/>
        <item x="36"/>
        <item x="37"/>
        <item x="38"/>
        <item x="451"/>
        <item x="452"/>
        <item x="39"/>
        <item x="453"/>
        <item x="40"/>
        <item x="41"/>
        <item x="454"/>
        <item x="42"/>
        <item x="43"/>
        <item x="455"/>
        <item x="456"/>
        <item x="44"/>
        <item x="45"/>
        <item x="46"/>
        <item x="457"/>
        <item x="47"/>
        <item x="48"/>
        <item x="458"/>
        <item x="49"/>
        <item x="459"/>
        <item x="50"/>
        <item x="51"/>
        <item x="460"/>
        <item x="461"/>
        <item x="52"/>
        <item x="53"/>
        <item x="462"/>
        <item x="463"/>
        <item x="54"/>
        <item x="464"/>
        <item x="55"/>
        <item x="465"/>
        <item x="56"/>
        <item x="466"/>
        <item x="467"/>
        <item x="468"/>
        <item x="57"/>
        <item x="58"/>
        <item x="469"/>
        <item x="470"/>
        <item x="59"/>
        <item x="471"/>
        <item x="60"/>
        <item x="61"/>
        <item x="62"/>
        <item x="63"/>
        <item x="472"/>
        <item x="64"/>
        <item x="473"/>
        <item x="474"/>
        <item x="475"/>
        <item x="65"/>
        <item x="66"/>
        <item x="67"/>
        <item x="68"/>
        <item x="69"/>
        <item x="476"/>
        <item x="477"/>
        <item x="70"/>
        <item x="478"/>
        <item x="479"/>
        <item x="71"/>
        <item x="72"/>
        <item x="480"/>
        <item x="481"/>
        <item x="482"/>
        <item x="73"/>
        <item x="74"/>
        <item x="75"/>
        <item x="76"/>
        <item x="77"/>
        <item x="78"/>
        <item x="483"/>
        <item x="79"/>
        <item x="484"/>
        <item x="80"/>
        <item x="485"/>
        <item x="486"/>
        <item x="487"/>
        <item x="81"/>
        <item x="82"/>
        <item x="488"/>
        <item x="489"/>
        <item x="490"/>
        <item x="491"/>
        <item x="492"/>
        <item x="493"/>
        <item x="494"/>
        <item x="495"/>
        <item x="496"/>
        <item x="83"/>
        <item x="497"/>
        <item x="84"/>
        <item x="498"/>
        <item x="85"/>
        <item x="499"/>
        <item x="86"/>
        <item x="500"/>
        <item x="87"/>
        <item x="501"/>
        <item x="502"/>
        <item x="503"/>
        <item x="88"/>
        <item x="504"/>
        <item x="505"/>
        <item x="89"/>
        <item x="90"/>
        <item x="506"/>
        <item x="91"/>
        <item x="507"/>
        <item x="508"/>
        <item x="509"/>
        <item x="92"/>
        <item x="510"/>
        <item x="511"/>
        <item x="93"/>
        <item x="512"/>
        <item x="513"/>
        <item x="514"/>
        <item x="94"/>
        <item x="515"/>
        <item x="95"/>
        <item x="516"/>
        <item x="517"/>
        <item x="96"/>
        <item x="518"/>
        <item x="97"/>
        <item x="519"/>
        <item x="98"/>
        <item x="99"/>
        <item x="100"/>
        <item x="520"/>
        <item x="521"/>
        <item x="522"/>
        <item x="101"/>
        <item x="523"/>
        <item x="524"/>
        <item x="525"/>
        <item x="526"/>
        <item x="102"/>
        <item x="527"/>
        <item x="528"/>
        <item x="529"/>
        <item x="103"/>
        <item x="104"/>
        <item x="530"/>
        <item x="105"/>
        <item x="106"/>
        <item x="107"/>
        <item x="108"/>
        <item x="531"/>
        <item x="532"/>
        <item x="109"/>
        <item x="110"/>
        <item x="533"/>
        <item x="534"/>
        <item x="535"/>
        <item x="536"/>
        <item x="537"/>
        <item x="111"/>
        <item x="538"/>
        <item x="112"/>
        <item x="539"/>
        <item x="113"/>
        <item x="114"/>
        <item x="540"/>
        <item x="541"/>
        <item x="542"/>
        <item x="115"/>
        <item x="116"/>
        <item x="543"/>
        <item x="117"/>
        <item x="544"/>
        <item x="118"/>
        <item x="119"/>
        <item x="545"/>
        <item x="120"/>
        <item x="121"/>
        <item x="546"/>
        <item x="547"/>
        <item x="548"/>
        <item x="122"/>
        <item x="549"/>
        <item x="550"/>
        <item x="551"/>
        <item x="123"/>
        <item x="552"/>
        <item x="553"/>
        <item x="554"/>
        <item x="555"/>
        <item x="124"/>
        <item x="556"/>
        <item x="557"/>
        <item x="558"/>
        <item x="559"/>
        <item x="125"/>
        <item x="560"/>
        <item x="561"/>
        <item x="562"/>
        <item x="126"/>
        <item x="563"/>
        <item x="564"/>
        <item x="565"/>
        <item x="127"/>
        <item x="566"/>
        <item x="128"/>
        <item x="567"/>
        <item x="129"/>
        <item x="130"/>
        <item x="568"/>
        <item x="131"/>
        <item x="569"/>
        <item x="570"/>
        <item x="571"/>
        <item x="572"/>
        <item x="132"/>
        <item x="573"/>
        <item x="574"/>
        <item x="575"/>
        <item x="576"/>
        <item x="577"/>
        <item x="578"/>
        <item x="579"/>
        <item x="580"/>
        <item x="581"/>
        <item x="582"/>
        <item x="133"/>
        <item x="134"/>
        <item x="135"/>
        <item x="136"/>
        <item x="137"/>
        <item x="138"/>
        <item x="583"/>
        <item x="584"/>
        <item x="139"/>
        <item x="140"/>
        <item x="141"/>
        <item x="585"/>
        <item x="142"/>
        <item x="586"/>
        <item x="587"/>
        <item x="588"/>
        <item x="589"/>
        <item x="590"/>
        <item x="591"/>
        <item x="143"/>
        <item x="144"/>
        <item x="592"/>
        <item x="145"/>
        <item x="146"/>
        <item x="147"/>
        <item x="593"/>
        <item x="594"/>
        <item x="595"/>
        <item x="148"/>
        <item x="596"/>
        <item x="597"/>
        <item x="149"/>
        <item x="150"/>
        <item x="151"/>
        <item x="598"/>
        <item x="599"/>
        <item x="152"/>
        <item x="600"/>
        <item x="153"/>
        <item x="601"/>
        <item x="602"/>
        <item x="603"/>
        <item x="604"/>
        <item x="605"/>
        <item x="606"/>
        <item x="607"/>
        <item x="154"/>
        <item x="155"/>
        <item x="608"/>
        <item x="156"/>
        <item x="609"/>
        <item x="610"/>
        <item x="157"/>
        <item x="611"/>
        <item x="612"/>
        <item x="158"/>
        <item x="159"/>
        <item x="160"/>
        <item x="613"/>
        <item x="161"/>
        <item x="614"/>
        <item x="615"/>
        <item x="616"/>
        <item x="617"/>
        <item x="162"/>
        <item x="163"/>
        <item x="164"/>
        <item x="618"/>
        <item x="165"/>
        <item x="619"/>
        <item x="620"/>
        <item x="621"/>
        <item x="622"/>
        <item x="166"/>
        <item x="167"/>
        <item x="623"/>
        <item x="624"/>
        <item x="168"/>
        <item x="169"/>
        <item x="625"/>
        <item x="170"/>
        <item x="626"/>
        <item x="627"/>
        <item x="171"/>
        <item x="628"/>
        <item x="172"/>
        <item x="173"/>
        <item x="174"/>
        <item x="175"/>
        <item x="176"/>
        <item x="629"/>
        <item x="177"/>
        <item x="630"/>
        <item x="178"/>
        <item x="631"/>
        <item x="179"/>
        <item x="180"/>
        <item x="632"/>
        <item x="181"/>
        <item x="633"/>
        <item x="182"/>
        <item x="634"/>
        <item x="635"/>
        <item x="183"/>
        <item x="636"/>
        <item x="637"/>
        <item x="638"/>
        <item x="184"/>
        <item x="185"/>
        <item x="639"/>
        <item x="186"/>
        <item x="187"/>
        <item x="188"/>
        <item x="640"/>
        <item x="189"/>
        <item x="641"/>
        <item x="642"/>
        <item x="643"/>
        <item x="644"/>
        <item x="190"/>
        <item x="645"/>
        <item x="646"/>
        <item x="191"/>
        <item x="647"/>
        <item x="192"/>
        <item x="648"/>
        <item x="649"/>
        <item x="650"/>
        <item x="651"/>
        <item x="193"/>
        <item x="652"/>
        <item x="653"/>
        <item x="194"/>
        <item x="654"/>
        <item x="655"/>
        <item x="656"/>
        <item x="195"/>
        <item x="657"/>
        <item x="196"/>
        <item x="658"/>
        <item x="659"/>
        <item x="660"/>
        <item x="661"/>
        <item x="662"/>
        <item x="197"/>
        <item x="198"/>
        <item x="199"/>
        <item x="663"/>
        <item x="200"/>
        <item x="664"/>
        <item x="665"/>
        <item x="666"/>
        <item x="201"/>
        <item x="667"/>
        <item x="668"/>
        <item x="669"/>
        <item x="670"/>
        <item x="202"/>
        <item x="203"/>
        <item x="671"/>
        <item x="204"/>
        <item x="205"/>
        <item x="672"/>
        <item x="206"/>
        <item x="673"/>
        <item x="207"/>
        <item x="208"/>
        <item x="674"/>
        <item x="675"/>
        <item x="209"/>
        <item x="676"/>
        <item x="210"/>
        <item x="677"/>
        <item x="211"/>
        <item x="678"/>
        <item x="679"/>
        <item x="680"/>
        <item x="212"/>
        <item x="681"/>
        <item x="682"/>
        <item x="683"/>
        <item x="684"/>
        <item x="213"/>
        <item x="214"/>
        <item x="215"/>
        <item x="216"/>
        <item x="685"/>
        <item x="686"/>
        <item x="217"/>
        <item x="218"/>
        <item x="687"/>
        <item x="219"/>
        <item x="688"/>
        <item x="689"/>
        <item x="220"/>
        <item x="690"/>
        <item x="691"/>
        <item x="221"/>
        <item x="692"/>
        <item x="693"/>
        <item x="694"/>
        <item x="695"/>
        <item x="222"/>
        <item x="223"/>
        <item x="696"/>
        <item x="224"/>
        <item x="225"/>
        <item x="226"/>
        <item x="697"/>
        <item x="698"/>
        <item x="227"/>
        <item x="699"/>
        <item x="700"/>
        <item x="701"/>
        <item x="702"/>
        <item x="703"/>
        <item x="704"/>
        <item x="705"/>
        <item x="228"/>
        <item x="229"/>
        <item x="706"/>
        <item x="707"/>
        <item x="708"/>
        <item x="230"/>
        <item x="231"/>
        <item x="709"/>
        <item x="710"/>
        <item x="711"/>
        <item x="232"/>
        <item x="233"/>
        <item x="234"/>
        <item x="235"/>
        <item x="236"/>
        <item x="712"/>
        <item x="713"/>
        <item x="714"/>
        <item x="237"/>
        <item x="715"/>
        <item x="716"/>
        <item x="238"/>
        <item x="239"/>
        <item x="240"/>
        <item x="717"/>
        <item x="241"/>
        <item x="242"/>
        <item x="243"/>
        <item x="718"/>
        <item x="719"/>
        <item x="720"/>
        <item x="721"/>
        <item x="722"/>
        <item x="723"/>
        <item x="244"/>
        <item x="724"/>
        <item x="245"/>
        <item x="725"/>
        <item x="246"/>
        <item x="726"/>
        <item x="727"/>
        <item x="728"/>
        <item x="729"/>
        <item x="730"/>
        <item x="247"/>
        <item x="731"/>
        <item x="732"/>
        <item x="248"/>
        <item x="733"/>
        <item x="249"/>
        <item x="250"/>
        <item x="734"/>
        <item x="735"/>
        <item x="251"/>
        <item x="736"/>
        <item x="737"/>
        <item x="738"/>
        <item x="739"/>
        <item x="740"/>
        <item x="252"/>
        <item x="741"/>
        <item x="253"/>
        <item x="742"/>
        <item x="254"/>
        <item x="743"/>
        <item x="744"/>
        <item x="745"/>
        <item x="255"/>
        <item x="746"/>
        <item x="747"/>
        <item x="256"/>
        <item x="748"/>
        <item x="749"/>
        <item x="257"/>
        <item x="258"/>
        <item x="750"/>
        <item x="259"/>
        <item x="751"/>
        <item x="752"/>
        <item x="260"/>
        <item x="261"/>
        <item x="753"/>
        <item x="754"/>
        <item x="262"/>
        <item x="755"/>
        <item x="756"/>
        <item x="757"/>
        <item x="758"/>
        <item x="263"/>
        <item x="759"/>
        <item x="264"/>
        <item x="760"/>
        <item x="265"/>
        <item x="761"/>
        <item x="266"/>
        <item x="267"/>
        <item x="268"/>
        <item x="269"/>
        <item x="762"/>
        <item x="270"/>
        <item x="271"/>
        <item x="763"/>
        <item x="272"/>
        <item x="273"/>
        <item x="764"/>
        <item x="765"/>
        <item x="766"/>
        <item x="767"/>
        <item x="274"/>
        <item x="275"/>
        <item x="768"/>
        <item x="276"/>
        <item x="277"/>
        <item x="769"/>
        <item x="278"/>
        <item x="770"/>
        <item x="279"/>
        <item x="280"/>
        <item x="281"/>
        <item x="282"/>
        <item x="283"/>
        <item x="771"/>
        <item x="772"/>
        <item x="773"/>
        <item x="284"/>
        <item x="774"/>
        <item x="285"/>
        <item x="286"/>
        <item x="287"/>
        <item x="775"/>
        <item x="776"/>
        <item x="288"/>
        <item x="289"/>
        <item x="777"/>
        <item x="778"/>
        <item x="779"/>
        <item x="780"/>
        <item x="290"/>
        <item x="781"/>
        <item x="291"/>
        <item x="292"/>
        <item x="293"/>
        <item x="782"/>
        <item x="294"/>
        <item x="783"/>
        <item x="295"/>
        <item x="784"/>
        <item x="785"/>
        <item x="296"/>
        <item x="786"/>
        <item x="787"/>
        <item x="788"/>
        <item x="789"/>
        <item x="297"/>
        <item x="298"/>
        <item x="299"/>
        <item x="790"/>
        <item x="300"/>
        <item x="301"/>
        <item x="302"/>
        <item x="791"/>
        <item x="792"/>
        <item x="303"/>
        <item x="793"/>
        <item x="794"/>
        <item x="304"/>
        <item x="305"/>
        <item x="795"/>
        <item x="306"/>
        <item x="796"/>
        <item x="797"/>
        <item x="307"/>
        <item x="308"/>
        <item x="798"/>
        <item x="799"/>
        <item x="800"/>
        <item x="309"/>
        <item x="801"/>
        <item x="802"/>
        <item x="803"/>
        <item x="804"/>
        <item x="805"/>
        <item x="806"/>
        <item x="310"/>
        <item x="807"/>
        <item x="808"/>
        <item x="311"/>
        <item x="312"/>
        <item x="809"/>
        <item x="313"/>
        <item x="810"/>
        <item x="314"/>
        <item x="811"/>
        <item x="812"/>
        <item x="813"/>
        <item x="814"/>
        <item x="815"/>
        <item x="816"/>
        <item x="315"/>
        <item x="817"/>
        <item x="818"/>
        <item x="316"/>
        <item x="819"/>
        <item x="820"/>
        <item x="821"/>
        <item x="317"/>
        <item x="822"/>
        <item x="823"/>
        <item x="824"/>
        <item x="825"/>
        <item x="826"/>
        <item x="827"/>
        <item x="828"/>
        <item x="829"/>
        <item x="830"/>
        <item x="318"/>
        <item x="319"/>
        <item x="831"/>
        <item x="832"/>
        <item x="320"/>
        <item x="833"/>
        <item x="834"/>
        <item x="321"/>
        <item x="322"/>
        <item x="323"/>
        <item x="835"/>
        <item x="836"/>
        <item x="324"/>
        <item x="837"/>
        <item x="838"/>
        <item x="839"/>
        <item x="840"/>
        <item x="841"/>
        <item x="325"/>
        <item x="326"/>
        <item x="842"/>
        <item x="843"/>
        <item x="844"/>
        <item x="845"/>
        <item x="846"/>
        <item x="847"/>
        <item x="848"/>
        <item x="327"/>
        <item x="849"/>
        <item x="850"/>
        <item x="328"/>
        <item x="851"/>
        <item x="329"/>
        <item x="852"/>
        <item x="853"/>
        <item x="854"/>
        <item x="855"/>
        <item x="330"/>
        <item x="331"/>
        <item x="856"/>
        <item x="857"/>
        <item x="858"/>
        <item x="859"/>
        <item x="860"/>
        <item x="861"/>
        <item x="332"/>
        <item x="333"/>
        <item x="862"/>
        <item x="334"/>
        <item x="335"/>
        <item x="863"/>
        <item x="336"/>
        <item x="864"/>
        <item x="337"/>
        <item x="338"/>
        <item x="865"/>
        <item x="866"/>
        <item x="867"/>
        <item x="339"/>
        <item x="868"/>
        <item x="869"/>
        <item x="870"/>
        <item x="871"/>
        <item x="340"/>
        <item x="872"/>
        <item x="873"/>
        <item x="874"/>
        <item x="341"/>
        <item x="342"/>
        <item x="875"/>
        <item x="876"/>
        <item x="343"/>
        <item x="877"/>
        <item x="878"/>
        <item x="344"/>
        <item x="345"/>
        <item x="879"/>
        <item x="880"/>
        <item x="346"/>
        <item x="881"/>
        <item x="882"/>
        <item x="347"/>
        <item x="348"/>
        <item x="883"/>
        <item x="884"/>
        <item x="349"/>
        <item x="885"/>
        <item x="886"/>
        <item x="887"/>
        <item x="888"/>
        <item x="889"/>
        <item x="890"/>
        <item x="891"/>
        <item x="892"/>
        <item x="350"/>
        <item x="893"/>
        <item x="351"/>
        <item x="352"/>
        <item x="894"/>
        <item x="895"/>
        <item x="353"/>
        <item x="896"/>
        <item x="897"/>
        <item x="898"/>
        <item x="899"/>
        <item x="354"/>
        <item x="900"/>
        <item x="901"/>
        <item x="902"/>
        <item x="903"/>
        <item x="904"/>
        <item x="905"/>
        <item x="906"/>
        <item x="355"/>
        <item x="356"/>
        <item x="357"/>
        <item x="907"/>
        <item x="358"/>
        <item x="908"/>
        <item x="909"/>
        <item x="910"/>
        <item x="359"/>
        <item x="360"/>
        <item x="911"/>
        <item x="361"/>
        <item x="362"/>
        <item x="912"/>
        <item x="913"/>
        <item x="914"/>
        <item x="915"/>
        <item x="363"/>
        <item x="916"/>
        <item x="917"/>
        <item x="364"/>
        <item x="365"/>
        <item x="366"/>
        <item x="918"/>
        <item x="367"/>
        <item x="919"/>
        <item x="368"/>
        <item x="369"/>
        <item x="920"/>
        <item x="370"/>
        <item x="921"/>
        <item x="922"/>
        <item x="923"/>
        <item x="924"/>
        <item x="925"/>
        <item x="371"/>
        <item x="372"/>
        <item x="926"/>
        <item x="927"/>
        <item x="373"/>
        <item x="928"/>
        <item x="929"/>
        <item x="374"/>
        <item x="375"/>
        <item x="376"/>
        <item x="930"/>
        <item x="377"/>
        <item x="378"/>
        <item x="931"/>
        <item x="379"/>
        <item x="932"/>
        <item x="933"/>
        <item x="934"/>
        <item x="380"/>
        <item x="381"/>
        <item x="382"/>
        <item x="935"/>
        <item x="383"/>
        <item x="936"/>
        <item x="384"/>
        <item x="385"/>
        <item x="386"/>
        <item x="937"/>
        <item x="387"/>
        <item x="938"/>
        <item x="939"/>
        <item x="940"/>
        <item x="941"/>
        <item x="942"/>
        <item x="943"/>
        <item x="944"/>
        <item x="945"/>
        <item x="388"/>
        <item x="389"/>
        <item x="946"/>
        <item x="390"/>
        <item x="947"/>
        <item x="391"/>
        <item x="392"/>
        <item x="393"/>
        <item x="948"/>
        <item x="394"/>
        <item t="default"/>
      </items>
    </pivotField>
    <pivotField dataField="1" numFmtId="165" showAll="0"/>
    <pivotField numFmtId="166" showAll="0"/>
    <pivotField showAll="0">
      <items count="14">
        <item x="8"/>
        <item x="6"/>
        <item x="12"/>
        <item x="2"/>
        <item x="0"/>
        <item x="5"/>
        <item x="1"/>
        <item x="7"/>
        <item x="9"/>
        <item x="3"/>
        <item x="10"/>
        <item x="11"/>
        <item x="4"/>
        <item t="default"/>
      </items>
    </pivotField>
    <pivotField showAll="0">
      <items count="142">
        <item x="30"/>
        <item x="17"/>
        <item x="121"/>
        <item x="34"/>
        <item x="45"/>
        <item x="113"/>
        <item x="74"/>
        <item x="136"/>
        <item x="131"/>
        <item x="8"/>
        <item x="4"/>
        <item x="93"/>
        <item x="118"/>
        <item x="130"/>
        <item x="48"/>
        <item x="101"/>
        <item x="124"/>
        <item x="64"/>
        <item x="79"/>
        <item x="68"/>
        <item x="25"/>
        <item x="6"/>
        <item x="116"/>
        <item x="135"/>
        <item x="22"/>
        <item x="77"/>
        <item x="43"/>
        <item x="5"/>
        <item x="137"/>
        <item x="86"/>
        <item x="55"/>
        <item x="1"/>
        <item x="80"/>
        <item x="67"/>
        <item x="58"/>
        <item x="122"/>
        <item x="78"/>
        <item x="127"/>
        <item x="12"/>
        <item x="128"/>
        <item x="96"/>
        <item x="62"/>
        <item x="82"/>
        <item x="126"/>
        <item x="44"/>
        <item x="66"/>
        <item x="40"/>
        <item x="99"/>
        <item x="94"/>
        <item x="53"/>
        <item x="119"/>
        <item x="9"/>
        <item x="20"/>
        <item x="36"/>
        <item x="15"/>
        <item x="85"/>
        <item x="63"/>
        <item x="56"/>
        <item x="92"/>
        <item x="75"/>
        <item x="47"/>
        <item x="39"/>
        <item x="120"/>
        <item x="23"/>
        <item x="60"/>
        <item x="70"/>
        <item x="13"/>
        <item x="3"/>
        <item x="111"/>
        <item x="103"/>
        <item x="84"/>
        <item x="73"/>
        <item x="76"/>
        <item x="14"/>
        <item x="125"/>
        <item x="18"/>
        <item x="28"/>
        <item x="41"/>
        <item x="138"/>
        <item x="46"/>
        <item x="133"/>
        <item x="0"/>
        <item x="57"/>
        <item x="100"/>
        <item x="38"/>
        <item x="24"/>
        <item x="88"/>
        <item x="42"/>
        <item x="107"/>
        <item x="110"/>
        <item x="109"/>
        <item x="71"/>
        <item x="104"/>
        <item x="10"/>
        <item x="105"/>
        <item x="89"/>
        <item x="61"/>
        <item x="90"/>
        <item x="132"/>
        <item x="51"/>
        <item x="11"/>
        <item x="50"/>
        <item x="59"/>
        <item x="95"/>
        <item x="32"/>
        <item x="54"/>
        <item x="139"/>
        <item x="102"/>
        <item x="123"/>
        <item x="134"/>
        <item x="31"/>
        <item x="140"/>
        <item x="81"/>
        <item x="108"/>
        <item x="7"/>
        <item x="16"/>
        <item x="91"/>
        <item x="87"/>
        <item x="106"/>
        <item x="21"/>
        <item x="129"/>
        <item x="26"/>
        <item x="97"/>
        <item x="65"/>
        <item x="19"/>
        <item x="49"/>
        <item x="2"/>
        <item x="52"/>
        <item x="29"/>
        <item x="117"/>
        <item x="37"/>
        <item x="72"/>
        <item x="115"/>
        <item x="114"/>
        <item x="27"/>
        <item x="83"/>
        <item x="33"/>
        <item x="112"/>
        <item x="98"/>
        <item x="35"/>
        <item x="69"/>
        <item t="default"/>
      </items>
    </pivotField>
    <pivotField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Fields count="1">
    <field x="3"/>
  </rowFields>
  <rowItems count="8">
    <i>
      <x/>
    </i>
    <i>
      <x v="1"/>
    </i>
    <i>
      <x v="2"/>
    </i>
    <i>
      <x v="3"/>
    </i>
    <i>
      <x v="4"/>
    </i>
    <i>
      <x v="5"/>
    </i>
    <i>
      <x v="6"/>
    </i>
    <i t="grand">
      <x/>
    </i>
  </rowItems>
  <colItems count="1">
    <i/>
  </colItems>
  <dataFields count="1">
    <dataField name="Sum of Annual Salary" fld="10" baseField="0" baseItem="0" numFmtId="165"/>
  </dataFields>
  <chartFormats count="8">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3" count="1" selected="0">
            <x v="0"/>
          </reference>
        </references>
      </pivotArea>
    </chartFormat>
    <chartFormat chart="4" format="11">
      <pivotArea type="data" outline="0" fieldPosition="0">
        <references count="2">
          <reference field="4294967294" count="1" selected="0">
            <x v="0"/>
          </reference>
          <reference field="3" count="1" selected="0">
            <x v="1"/>
          </reference>
        </references>
      </pivotArea>
    </chartFormat>
    <chartFormat chart="4" format="12">
      <pivotArea type="data" outline="0" fieldPosition="0">
        <references count="2">
          <reference field="4294967294" count="1" selected="0">
            <x v="0"/>
          </reference>
          <reference field="3" count="1" selected="0">
            <x v="2"/>
          </reference>
        </references>
      </pivotArea>
    </chartFormat>
    <chartFormat chart="4" format="13">
      <pivotArea type="data" outline="0" fieldPosition="0">
        <references count="2">
          <reference field="4294967294" count="1" selected="0">
            <x v="0"/>
          </reference>
          <reference field="3" count="1" selected="0">
            <x v="3"/>
          </reference>
        </references>
      </pivotArea>
    </chartFormat>
    <chartFormat chart="4" format="14">
      <pivotArea type="data" outline="0" fieldPosition="0">
        <references count="2">
          <reference field="4294967294" count="1" selected="0">
            <x v="0"/>
          </reference>
          <reference field="3" count="1" selected="0">
            <x v="4"/>
          </reference>
        </references>
      </pivotArea>
    </chartFormat>
    <chartFormat chart="4" format="15">
      <pivotArea type="data" outline="0" fieldPosition="0">
        <references count="2">
          <reference field="4294967294" count="1" selected="0">
            <x v="0"/>
          </reference>
          <reference field="3" count="1" selected="0">
            <x v="5"/>
          </reference>
        </references>
      </pivotArea>
    </chartFormat>
    <chartFormat chart="4" format="16">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894C79-5AC1-4E36-BD66-5A6C54CE9DE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3:B198" firstHeaderRow="1" firstDataRow="1" firstDataCol="1"/>
  <pivotFields count="18">
    <pivotField showAll="0"/>
    <pivotField showAll="0"/>
    <pivotField showAll="0"/>
    <pivotField showAll="0"/>
    <pivotField axis="axisRow" showAll="0">
      <items count="5">
        <item x="1"/>
        <item x="2"/>
        <item x="0"/>
        <item x="3"/>
        <item t="default"/>
      </items>
    </pivotField>
    <pivotField showAll="0"/>
    <pivotField showAll="0"/>
    <pivotField showAll="0"/>
    <pivotField showAll="0"/>
    <pivotField numFmtId="14" showAll="0">
      <items count="950">
        <item x="0"/>
        <item x="1"/>
        <item x="395"/>
        <item x="396"/>
        <item x="2"/>
        <item x="397"/>
        <item x="398"/>
        <item x="399"/>
        <item x="3"/>
        <item x="400"/>
        <item x="401"/>
        <item x="402"/>
        <item x="403"/>
        <item x="404"/>
        <item x="405"/>
        <item x="4"/>
        <item x="5"/>
        <item x="406"/>
        <item x="6"/>
        <item x="407"/>
        <item x="408"/>
        <item x="7"/>
        <item x="409"/>
        <item x="410"/>
        <item x="411"/>
        <item x="412"/>
        <item x="8"/>
        <item x="413"/>
        <item x="414"/>
        <item x="9"/>
        <item x="10"/>
        <item x="415"/>
        <item x="416"/>
        <item x="11"/>
        <item x="12"/>
        <item x="417"/>
        <item x="13"/>
        <item x="418"/>
        <item x="419"/>
        <item x="420"/>
        <item x="14"/>
        <item x="421"/>
        <item x="422"/>
        <item x="15"/>
        <item x="423"/>
        <item x="16"/>
        <item x="424"/>
        <item x="17"/>
        <item x="18"/>
        <item x="19"/>
        <item x="425"/>
        <item x="20"/>
        <item x="21"/>
        <item x="22"/>
        <item x="426"/>
        <item x="427"/>
        <item x="428"/>
        <item x="23"/>
        <item x="429"/>
        <item x="430"/>
        <item x="24"/>
        <item x="431"/>
        <item x="432"/>
        <item x="433"/>
        <item x="434"/>
        <item x="435"/>
        <item x="25"/>
        <item x="436"/>
        <item x="437"/>
        <item x="26"/>
        <item x="438"/>
        <item x="439"/>
        <item x="27"/>
        <item x="440"/>
        <item x="28"/>
        <item x="29"/>
        <item x="441"/>
        <item x="442"/>
        <item x="443"/>
        <item x="30"/>
        <item x="31"/>
        <item x="444"/>
        <item x="445"/>
        <item x="446"/>
        <item x="447"/>
        <item x="32"/>
        <item x="33"/>
        <item x="34"/>
        <item x="448"/>
        <item x="35"/>
        <item x="449"/>
        <item x="450"/>
        <item x="36"/>
        <item x="37"/>
        <item x="38"/>
        <item x="451"/>
        <item x="452"/>
        <item x="39"/>
        <item x="453"/>
        <item x="40"/>
        <item x="41"/>
        <item x="454"/>
        <item x="42"/>
        <item x="43"/>
        <item x="455"/>
        <item x="456"/>
        <item x="44"/>
        <item x="45"/>
        <item x="46"/>
        <item x="457"/>
        <item x="47"/>
        <item x="48"/>
        <item x="458"/>
        <item x="49"/>
        <item x="459"/>
        <item x="50"/>
        <item x="51"/>
        <item x="460"/>
        <item x="461"/>
        <item x="52"/>
        <item x="53"/>
        <item x="462"/>
        <item x="463"/>
        <item x="54"/>
        <item x="464"/>
        <item x="55"/>
        <item x="465"/>
        <item x="56"/>
        <item x="466"/>
        <item x="467"/>
        <item x="468"/>
        <item x="57"/>
        <item x="58"/>
        <item x="469"/>
        <item x="470"/>
        <item x="59"/>
        <item x="471"/>
        <item x="60"/>
        <item x="61"/>
        <item x="62"/>
        <item x="63"/>
        <item x="472"/>
        <item x="64"/>
        <item x="473"/>
        <item x="474"/>
        <item x="475"/>
        <item x="65"/>
        <item x="66"/>
        <item x="67"/>
        <item x="68"/>
        <item x="69"/>
        <item x="476"/>
        <item x="477"/>
        <item x="70"/>
        <item x="478"/>
        <item x="479"/>
        <item x="71"/>
        <item x="72"/>
        <item x="480"/>
        <item x="481"/>
        <item x="482"/>
        <item x="73"/>
        <item x="74"/>
        <item x="75"/>
        <item x="76"/>
        <item x="77"/>
        <item x="78"/>
        <item x="483"/>
        <item x="79"/>
        <item x="484"/>
        <item x="80"/>
        <item x="485"/>
        <item x="486"/>
        <item x="487"/>
        <item x="81"/>
        <item x="82"/>
        <item x="488"/>
        <item x="489"/>
        <item x="490"/>
        <item x="491"/>
        <item x="492"/>
        <item x="493"/>
        <item x="494"/>
        <item x="495"/>
        <item x="496"/>
        <item x="83"/>
        <item x="497"/>
        <item x="84"/>
        <item x="498"/>
        <item x="85"/>
        <item x="499"/>
        <item x="86"/>
        <item x="500"/>
        <item x="87"/>
        <item x="501"/>
        <item x="502"/>
        <item x="503"/>
        <item x="88"/>
        <item x="504"/>
        <item x="505"/>
        <item x="89"/>
        <item x="90"/>
        <item x="506"/>
        <item x="91"/>
        <item x="507"/>
        <item x="508"/>
        <item x="509"/>
        <item x="92"/>
        <item x="510"/>
        <item x="511"/>
        <item x="93"/>
        <item x="512"/>
        <item x="513"/>
        <item x="514"/>
        <item x="94"/>
        <item x="515"/>
        <item x="95"/>
        <item x="516"/>
        <item x="517"/>
        <item x="96"/>
        <item x="518"/>
        <item x="97"/>
        <item x="519"/>
        <item x="98"/>
        <item x="99"/>
        <item x="100"/>
        <item x="520"/>
        <item x="521"/>
        <item x="522"/>
        <item x="101"/>
        <item x="523"/>
        <item x="524"/>
        <item x="525"/>
        <item x="526"/>
        <item x="102"/>
        <item x="527"/>
        <item x="528"/>
        <item x="529"/>
        <item x="103"/>
        <item x="104"/>
        <item x="530"/>
        <item x="105"/>
        <item x="106"/>
        <item x="107"/>
        <item x="108"/>
        <item x="531"/>
        <item x="532"/>
        <item x="109"/>
        <item x="110"/>
        <item x="533"/>
        <item x="534"/>
        <item x="535"/>
        <item x="536"/>
        <item x="537"/>
        <item x="111"/>
        <item x="538"/>
        <item x="112"/>
        <item x="539"/>
        <item x="113"/>
        <item x="114"/>
        <item x="540"/>
        <item x="541"/>
        <item x="542"/>
        <item x="115"/>
        <item x="116"/>
        <item x="543"/>
        <item x="117"/>
        <item x="544"/>
        <item x="118"/>
        <item x="119"/>
        <item x="545"/>
        <item x="120"/>
        <item x="121"/>
        <item x="546"/>
        <item x="547"/>
        <item x="548"/>
        <item x="122"/>
        <item x="549"/>
        <item x="550"/>
        <item x="551"/>
        <item x="123"/>
        <item x="552"/>
        <item x="553"/>
        <item x="554"/>
        <item x="555"/>
        <item x="124"/>
        <item x="556"/>
        <item x="557"/>
        <item x="558"/>
        <item x="559"/>
        <item x="125"/>
        <item x="560"/>
        <item x="561"/>
        <item x="562"/>
        <item x="126"/>
        <item x="563"/>
        <item x="564"/>
        <item x="565"/>
        <item x="127"/>
        <item x="566"/>
        <item x="128"/>
        <item x="567"/>
        <item x="129"/>
        <item x="130"/>
        <item x="568"/>
        <item x="131"/>
        <item x="569"/>
        <item x="570"/>
        <item x="571"/>
        <item x="572"/>
        <item x="132"/>
        <item x="573"/>
        <item x="574"/>
        <item x="575"/>
        <item x="576"/>
        <item x="577"/>
        <item x="578"/>
        <item x="579"/>
        <item x="580"/>
        <item x="581"/>
        <item x="582"/>
        <item x="133"/>
        <item x="134"/>
        <item x="135"/>
        <item x="136"/>
        <item x="137"/>
        <item x="138"/>
        <item x="583"/>
        <item x="584"/>
        <item x="139"/>
        <item x="140"/>
        <item x="141"/>
        <item x="585"/>
        <item x="142"/>
        <item x="586"/>
        <item x="587"/>
        <item x="588"/>
        <item x="589"/>
        <item x="590"/>
        <item x="591"/>
        <item x="143"/>
        <item x="144"/>
        <item x="592"/>
        <item x="145"/>
        <item x="146"/>
        <item x="147"/>
        <item x="593"/>
        <item x="594"/>
        <item x="595"/>
        <item x="148"/>
        <item x="596"/>
        <item x="597"/>
        <item x="149"/>
        <item x="150"/>
        <item x="151"/>
        <item x="598"/>
        <item x="599"/>
        <item x="152"/>
        <item x="600"/>
        <item x="153"/>
        <item x="601"/>
        <item x="602"/>
        <item x="603"/>
        <item x="604"/>
        <item x="605"/>
        <item x="606"/>
        <item x="607"/>
        <item x="154"/>
        <item x="155"/>
        <item x="608"/>
        <item x="156"/>
        <item x="609"/>
        <item x="610"/>
        <item x="157"/>
        <item x="611"/>
        <item x="612"/>
        <item x="158"/>
        <item x="159"/>
        <item x="160"/>
        <item x="613"/>
        <item x="161"/>
        <item x="614"/>
        <item x="615"/>
        <item x="616"/>
        <item x="617"/>
        <item x="162"/>
        <item x="163"/>
        <item x="164"/>
        <item x="618"/>
        <item x="165"/>
        <item x="619"/>
        <item x="620"/>
        <item x="621"/>
        <item x="622"/>
        <item x="166"/>
        <item x="167"/>
        <item x="623"/>
        <item x="624"/>
        <item x="168"/>
        <item x="169"/>
        <item x="625"/>
        <item x="170"/>
        <item x="626"/>
        <item x="627"/>
        <item x="171"/>
        <item x="628"/>
        <item x="172"/>
        <item x="173"/>
        <item x="174"/>
        <item x="175"/>
        <item x="176"/>
        <item x="629"/>
        <item x="177"/>
        <item x="630"/>
        <item x="178"/>
        <item x="631"/>
        <item x="179"/>
        <item x="180"/>
        <item x="632"/>
        <item x="181"/>
        <item x="633"/>
        <item x="182"/>
        <item x="634"/>
        <item x="635"/>
        <item x="183"/>
        <item x="636"/>
        <item x="637"/>
        <item x="638"/>
        <item x="184"/>
        <item x="185"/>
        <item x="639"/>
        <item x="186"/>
        <item x="187"/>
        <item x="188"/>
        <item x="640"/>
        <item x="189"/>
        <item x="641"/>
        <item x="642"/>
        <item x="643"/>
        <item x="644"/>
        <item x="190"/>
        <item x="645"/>
        <item x="646"/>
        <item x="191"/>
        <item x="647"/>
        <item x="192"/>
        <item x="648"/>
        <item x="649"/>
        <item x="650"/>
        <item x="651"/>
        <item x="193"/>
        <item x="652"/>
        <item x="653"/>
        <item x="194"/>
        <item x="654"/>
        <item x="655"/>
        <item x="656"/>
        <item x="195"/>
        <item x="657"/>
        <item x="196"/>
        <item x="658"/>
        <item x="659"/>
        <item x="660"/>
        <item x="661"/>
        <item x="662"/>
        <item x="197"/>
        <item x="198"/>
        <item x="199"/>
        <item x="663"/>
        <item x="200"/>
        <item x="664"/>
        <item x="665"/>
        <item x="666"/>
        <item x="201"/>
        <item x="667"/>
        <item x="668"/>
        <item x="669"/>
        <item x="670"/>
        <item x="202"/>
        <item x="203"/>
        <item x="671"/>
        <item x="204"/>
        <item x="205"/>
        <item x="672"/>
        <item x="206"/>
        <item x="673"/>
        <item x="207"/>
        <item x="208"/>
        <item x="674"/>
        <item x="675"/>
        <item x="209"/>
        <item x="676"/>
        <item x="210"/>
        <item x="677"/>
        <item x="211"/>
        <item x="678"/>
        <item x="679"/>
        <item x="680"/>
        <item x="212"/>
        <item x="681"/>
        <item x="682"/>
        <item x="683"/>
        <item x="684"/>
        <item x="213"/>
        <item x="214"/>
        <item x="215"/>
        <item x="216"/>
        <item x="685"/>
        <item x="686"/>
        <item x="217"/>
        <item x="218"/>
        <item x="687"/>
        <item x="219"/>
        <item x="688"/>
        <item x="689"/>
        <item x="220"/>
        <item x="690"/>
        <item x="691"/>
        <item x="221"/>
        <item x="692"/>
        <item x="693"/>
        <item x="694"/>
        <item x="695"/>
        <item x="222"/>
        <item x="223"/>
        <item x="696"/>
        <item x="224"/>
        <item x="225"/>
        <item x="226"/>
        <item x="697"/>
        <item x="698"/>
        <item x="227"/>
        <item x="699"/>
        <item x="700"/>
        <item x="701"/>
        <item x="702"/>
        <item x="703"/>
        <item x="704"/>
        <item x="705"/>
        <item x="228"/>
        <item x="229"/>
        <item x="706"/>
        <item x="707"/>
        <item x="708"/>
        <item x="230"/>
        <item x="231"/>
        <item x="709"/>
        <item x="710"/>
        <item x="711"/>
        <item x="232"/>
        <item x="233"/>
        <item x="234"/>
        <item x="235"/>
        <item x="236"/>
        <item x="712"/>
        <item x="713"/>
        <item x="714"/>
        <item x="237"/>
        <item x="715"/>
        <item x="716"/>
        <item x="238"/>
        <item x="239"/>
        <item x="240"/>
        <item x="717"/>
        <item x="241"/>
        <item x="242"/>
        <item x="243"/>
        <item x="718"/>
        <item x="719"/>
        <item x="720"/>
        <item x="721"/>
        <item x="722"/>
        <item x="723"/>
        <item x="244"/>
        <item x="724"/>
        <item x="245"/>
        <item x="725"/>
        <item x="246"/>
        <item x="726"/>
        <item x="727"/>
        <item x="728"/>
        <item x="729"/>
        <item x="730"/>
        <item x="247"/>
        <item x="731"/>
        <item x="732"/>
        <item x="248"/>
        <item x="733"/>
        <item x="249"/>
        <item x="250"/>
        <item x="734"/>
        <item x="735"/>
        <item x="251"/>
        <item x="736"/>
        <item x="737"/>
        <item x="738"/>
        <item x="739"/>
        <item x="740"/>
        <item x="252"/>
        <item x="741"/>
        <item x="253"/>
        <item x="742"/>
        <item x="254"/>
        <item x="743"/>
        <item x="744"/>
        <item x="745"/>
        <item x="255"/>
        <item x="746"/>
        <item x="747"/>
        <item x="256"/>
        <item x="748"/>
        <item x="749"/>
        <item x="257"/>
        <item x="258"/>
        <item x="750"/>
        <item x="259"/>
        <item x="751"/>
        <item x="752"/>
        <item x="260"/>
        <item x="261"/>
        <item x="753"/>
        <item x="754"/>
        <item x="262"/>
        <item x="755"/>
        <item x="756"/>
        <item x="757"/>
        <item x="758"/>
        <item x="263"/>
        <item x="759"/>
        <item x="264"/>
        <item x="760"/>
        <item x="265"/>
        <item x="761"/>
        <item x="266"/>
        <item x="267"/>
        <item x="268"/>
        <item x="269"/>
        <item x="762"/>
        <item x="270"/>
        <item x="271"/>
        <item x="763"/>
        <item x="272"/>
        <item x="273"/>
        <item x="764"/>
        <item x="765"/>
        <item x="766"/>
        <item x="767"/>
        <item x="274"/>
        <item x="275"/>
        <item x="768"/>
        <item x="276"/>
        <item x="277"/>
        <item x="769"/>
        <item x="278"/>
        <item x="770"/>
        <item x="279"/>
        <item x="280"/>
        <item x="281"/>
        <item x="282"/>
        <item x="283"/>
        <item x="771"/>
        <item x="772"/>
        <item x="773"/>
        <item x="284"/>
        <item x="774"/>
        <item x="285"/>
        <item x="286"/>
        <item x="287"/>
        <item x="775"/>
        <item x="776"/>
        <item x="288"/>
        <item x="289"/>
        <item x="777"/>
        <item x="778"/>
        <item x="779"/>
        <item x="780"/>
        <item x="290"/>
        <item x="781"/>
        <item x="291"/>
        <item x="292"/>
        <item x="293"/>
        <item x="782"/>
        <item x="294"/>
        <item x="783"/>
        <item x="295"/>
        <item x="784"/>
        <item x="785"/>
        <item x="296"/>
        <item x="786"/>
        <item x="787"/>
        <item x="788"/>
        <item x="789"/>
        <item x="297"/>
        <item x="298"/>
        <item x="299"/>
        <item x="790"/>
        <item x="300"/>
        <item x="301"/>
        <item x="302"/>
        <item x="791"/>
        <item x="792"/>
        <item x="303"/>
        <item x="793"/>
        <item x="794"/>
        <item x="304"/>
        <item x="305"/>
        <item x="795"/>
        <item x="306"/>
        <item x="796"/>
        <item x="797"/>
        <item x="307"/>
        <item x="308"/>
        <item x="798"/>
        <item x="799"/>
        <item x="800"/>
        <item x="309"/>
        <item x="801"/>
        <item x="802"/>
        <item x="803"/>
        <item x="804"/>
        <item x="805"/>
        <item x="806"/>
        <item x="310"/>
        <item x="807"/>
        <item x="808"/>
        <item x="311"/>
        <item x="312"/>
        <item x="809"/>
        <item x="313"/>
        <item x="810"/>
        <item x="314"/>
        <item x="811"/>
        <item x="812"/>
        <item x="813"/>
        <item x="814"/>
        <item x="815"/>
        <item x="816"/>
        <item x="315"/>
        <item x="817"/>
        <item x="818"/>
        <item x="316"/>
        <item x="819"/>
        <item x="820"/>
        <item x="821"/>
        <item x="317"/>
        <item x="822"/>
        <item x="823"/>
        <item x="824"/>
        <item x="825"/>
        <item x="826"/>
        <item x="827"/>
        <item x="828"/>
        <item x="829"/>
        <item x="830"/>
        <item x="318"/>
        <item x="319"/>
        <item x="831"/>
        <item x="832"/>
        <item x="320"/>
        <item x="833"/>
        <item x="834"/>
        <item x="321"/>
        <item x="322"/>
        <item x="323"/>
        <item x="835"/>
        <item x="836"/>
        <item x="324"/>
        <item x="837"/>
        <item x="838"/>
        <item x="839"/>
        <item x="840"/>
        <item x="841"/>
        <item x="325"/>
        <item x="326"/>
        <item x="842"/>
        <item x="843"/>
        <item x="844"/>
        <item x="845"/>
        <item x="846"/>
        <item x="847"/>
        <item x="848"/>
        <item x="327"/>
        <item x="849"/>
        <item x="850"/>
        <item x="328"/>
        <item x="851"/>
        <item x="329"/>
        <item x="852"/>
        <item x="853"/>
        <item x="854"/>
        <item x="855"/>
        <item x="330"/>
        <item x="331"/>
        <item x="856"/>
        <item x="857"/>
        <item x="858"/>
        <item x="859"/>
        <item x="860"/>
        <item x="861"/>
        <item x="332"/>
        <item x="333"/>
        <item x="862"/>
        <item x="334"/>
        <item x="335"/>
        <item x="863"/>
        <item x="336"/>
        <item x="864"/>
        <item x="337"/>
        <item x="338"/>
        <item x="865"/>
        <item x="866"/>
        <item x="867"/>
        <item x="339"/>
        <item x="868"/>
        <item x="869"/>
        <item x="870"/>
        <item x="871"/>
        <item x="340"/>
        <item x="872"/>
        <item x="873"/>
        <item x="874"/>
        <item x="341"/>
        <item x="342"/>
        <item x="875"/>
        <item x="876"/>
        <item x="343"/>
        <item x="877"/>
        <item x="878"/>
        <item x="344"/>
        <item x="345"/>
        <item x="879"/>
        <item x="880"/>
        <item x="346"/>
        <item x="881"/>
        <item x="882"/>
        <item x="347"/>
        <item x="348"/>
        <item x="883"/>
        <item x="884"/>
        <item x="349"/>
        <item x="885"/>
        <item x="886"/>
        <item x="887"/>
        <item x="888"/>
        <item x="889"/>
        <item x="890"/>
        <item x="891"/>
        <item x="892"/>
        <item x="350"/>
        <item x="893"/>
        <item x="351"/>
        <item x="352"/>
        <item x="894"/>
        <item x="895"/>
        <item x="353"/>
        <item x="896"/>
        <item x="897"/>
        <item x="898"/>
        <item x="899"/>
        <item x="354"/>
        <item x="900"/>
        <item x="901"/>
        <item x="902"/>
        <item x="903"/>
        <item x="904"/>
        <item x="905"/>
        <item x="906"/>
        <item x="355"/>
        <item x="356"/>
        <item x="357"/>
        <item x="907"/>
        <item x="358"/>
        <item x="908"/>
        <item x="909"/>
        <item x="910"/>
        <item x="359"/>
        <item x="360"/>
        <item x="911"/>
        <item x="361"/>
        <item x="362"/>
        <item x="912"/>
        <item x="913"/>
        <item x="914"/>
        <item x="915"/>
        <item x="363"/>
        <item x="916"/>
        <item x="917"/>
        <item x="364"/>
        <item x="365"/>
        <item x="366"/>
        <item x="918"/>
        <item x="367"/>
        <item x="919"/>
        <item x="368"/>
        <item x="369"/>
        <item x="920"/>
        <item x="370"/>
        <item x="921"/>
        <item x="922"/>
        <item x="923"/>
        <item x="924"/>
        <item x="925"/>
        <item x="371"/>
        <item x="372"/>
        <item x="926"/>
        <item x="927"/>
        <item x="373"/>
        <item x="928"/>
        <item x="929"/>
        <item x="374"/>
        <item x="375"/>
        <item x="376"/>
        <item x="930"/>
        <item x="377"/>
        <item x="378"/>
        <item x="931"/>
        <item x="379"/>
        <item x="932"/>
        <item x="933"/>
        <item x="934"/>
        <item x="380"/>
        <item x="381"/>
        <item x="382"/>
        <item x="935"/>
        <item x="383"/>
        <item x="936"/>
        <item x="384"/>
        <item x="385"/>
        <item x="386"/>
        <item x="937"/>
        <item x="387"/>
        <item x="938"/>
        <item x="939"/>
        <item x="940"/>
        <item x="941"/>
        <item x="942"/>
        <item x="943"/>
        <item x="944"/>
        <item x="945"/>
        <item x="388"/>
        <item x="389"/>
        <item x="946"/>
        <item x="390"/>
        <item x="947"/>
        <item x="391"/>
        <item x="392"/>
        <item x="393"/>
        <item x="948"/>
        <item x="394"/>
        <item t="default"/>
      </items>
    </pivotField>
    <pivotField numFmtId="165" showAll="0"/>
    <pivotField dataField="1" numFmtId="166" showAll="0"/>
    <pivotField showAll="0">
      <items count="14">
        <item x="8"/>
        <item x="6"/>
        <item x="12"/>
        <item x="2"/>
        <item x="0"/>
        <item x="5"/>
        <item x="1"/>
        <item x="7"/>
        <item x="9"/>
        <item x="3"/>
        <item x="10"/>
        <item x="11"/>
        <item x="4"/>
        <item t="default"/>
      </items>
    </pivotField>
    <pivotField showAll="0"/>
    <pivotField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Fields count="1">
    <field x="4"/>
  </rowFields>
  <rowItems count="5">
    <i>
      <x/>
    </i>
    <i>
      <x v="1"/>
    </i>
    <i>
      <x v="2"/>
    </i>
    <i>
      <x v="3"/>
    </i>
    <i t="grand">
      <x/>
    </i>
  </rowItems>
  <colItems count="1">
    <i/>
  </colItems>
  <dataFields count="1">
    <dataField name="Average of Bonus %" fld="11" subtotal="average" baseField="4" baseItem="0" numFmtId="166"/>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8EADD0-6C54-44C4-B182-32FD2821B23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64:F73" firstHeaderRow="1" firstDataRow="2" firstDataCol="1"/>
  <pivotFields count="18">
    <pivotField showAll="0"/>
    <pivotField showAll="0"/>
    <pivotField showAll="0"/>
    <pivotField axis="axisRow" showAll="0">
      <items count="8">
        <item x="6"/>
        <item x="0"/>
        <item x="5"/>
        <item x="3"/>
        <item x="2"/>
        <item x="4"/>
        <item x="1"/>
        <item t="default"/>
      </items>
    </pivotField>
    <pivotField showAll="0"/>
    <pivotField showAll="0"/>
    <pivotField showAll="0"/>
    <pivotField showAll="0"/>
    <pivotField axis="axisCol" dataField="1" showAll="0">
      <items count="5">
        <item x="1"/>
        <item x="3"/>
        <item x="2"/>
        <item x="0"/>
        <item t="default"/>
      </items>
    </pivotField>
    <pivotField numFmtId="14" showAll="0">
      <items count="950">
        <item x="0"/>
        <item x="1"/>
        <item x="395"/>
        <item x="396"/>
        <item x="2"/>
        <item x="397"/>
        <item x="398"/>
        <item x="399"/>
        <item x="3"/>
        <item x="400"/>
        <item x="401"/>
        <item x="402"/>
        <item x="403"/>
        <item x="404"/>
        <item x="405"/>
        <item x="4"/>
        <item x="5"/>
        <item x="406"/>
        <item x="6"/>
        <item x="407"/>
        <item x="408"/>
        <item x="7"/>
        <item x="409"/>
        <item x="410"/>
        <item x="411"/>
        <item x="412"/>
        <item x="8"/>
        <item x="413"/>
        <item x="414"/>
        <item x="9"/>
        <item x="10"/>
        <item x="415"/>
        <item x="416"/>
        <item x="11"/>
        <item x="12"/>
        <item x="417"/>
        <item x="13"/>
        <item x="418"/>
        <item x="419"/>
        <item x="420"/>
        <item x="14"/>
        <item x="421"/>
        <item x="422"/>
        <item x="15"/>
        <item x="423"/>
        <item x="16"/>
        <item x="424"/>
        <item x="17"/>
        <item x="18"/>
        <item x="19"/>
        <item x="425"/>
        <item x="20"/>
        <item x="21"/>
        <item x="22"/>
        <item x="426"/>
        <item x="427"/>
        <item x="428"/>
        <item x="23"/>
        <item x="429"/>
        <item x="430"/>
        <item x="24"/>
        <item x="431"/>
        <item x="432"/>
        <item x="433"/>
        <item x="434"/>
        <item x="435"/>
        <item x="25"/>
        <item x="436"/>
        <item x="437"/>
        <item x="26"/>
        <item x="438"/>
        <item x="439"/>
        <item x="27"/>
        <item x="440"/>
        <item x="28"/>
        <item x="29"/>
        <item x="441"/>
        <item x="442"/>
        <item x="443"/>
        <item x="30"/>
        <item x="31"/>
        <item x="444"/>
        <item x="445"/>
        <item x="446"/>
        <item x="447"/>
        <item x="32"/>
        <item x="33"/>
        <item x="34"/>
        <item x="448"/>
        <item x="35"/>
        <item x="449"/>
        <item x="450"/>
        <item x="36"/>
        <item x="37"/>
        <item x="38"/>
        <item x="451"/>
        <item x="452"/>
        <item x="39"/>
        <item x="453"/>
        <item x="40"/>
        <item x="41"/>
        <item x="454"/>
        <item x="42"/>
        <item x="43"/>
        <item x="455"/>
        <item x="456"/>
        <item x="44"/>
        <item x="45"/>
        <item x="46"/>
        <item x="457"/>
        <item x="47"/>
        <item x="48"/>
        <item x="458"/>
        <item x="49"/>
        <item x="459"/>
        <item x="50"/>
        <item x="51"/>
        <item x="460"/>
        <item x="461"/>
        <item x="52"/>
        <item x="53"/>
        <item x="462"/>
        <item x="463"/>
        <item x="54"/>
        <item x="464"/>
        <item x="55"/>
        <item x="465"/>
        <item x="56"/>
        <item x="466"/>
        <item x="467"/>
        <item x="468"/>
        <item x="57"/>
        <item x="58"/>
        <item x="469"/>
        <item x="470"/>
        <item x="59"/>
        <item x="471"/>
        <item x="60"/>
        <item x="61"/>
        <item x="62"/>
        <item x="63"/>
        <item x="472"/>
        <item x="64"/>
        <item x="473"/>
        <item x="474"/>
        <item x="475"/>
        <item x="65"/>
        <item x="66"/>
        <item x="67"/>
        <item x="68"/>
        <item x="69"/>
        <item x="476"/>
        <item x="477"/>
        <item x="70"/>
        <item x="478"/>
        <item x="479"/>
        <item x="71"/>
        <item x="72"/>
        <item x="480"/>
        <item x="481"/>
        <item x="482"/>
        <item x="73"/>
        <item x="74"/>
        <item x="75"/>
        <item x="76"/>
        <item x="77"/>
        <item x="78"/>
        <item x="483"/>
        <item x="79"/>
        <item x="484"/>
        <item x="80"/>
        <item x="485"/>
        <item x="486"/>
        <item x="487"/>
        <item x="81"/>
        <item x="82"/>
        <item x="488"/>
        <item x="489"/>
        <item x="490"/>
        <item x="491"/>
        <item x="492"/>
        <item x="493"/>
        <item x="494"/>
        <item x="495"/>
        <item x="496"/>
        <item x="83"/>
        <item x="497"/>
        <item x="84"/>
        <item x="498"/>
        <item x="85"/>
        <item x="499"/>
        <item x="86"/>
        <item x="500"/>
        <item x="87"/>
        <item x="501"/>
        <item x="502"/>
        <item x="503"/>
        <item x="88"/>
        <item x="504"/>
        <item x="505"/>
        <item x="89"/>
        <item x="90"/>
        <item x="506"/>
        <item x="91"/>
        <item x="507"/>
        <item x="508"/>
        <item x="509"/>
        <item x="92"/>
        <item x="510"/>
        <item x="511"/>
        <item x="93"/>
        <item x="512"/>
        <item x="513"/>
        <item x="514"/>
        <item x="94"/>
        <item x="515"/>
        <item x="95"/>
        <item x="516"/>
        <item x="517"/>
        <item x="96"/>
        <item x="518"/>
        <item x="97"/>
        <item x="519"/>
        <item x="98"/>
        <item x="99"/>
        <item x="100"/>
        <item x="520"/>
        <item x="521"/>
        <item x="522"/>
        <item x="101"/>
        <item x="523"/>
        <item x="524"/>
        <item x="525"/>
        <item x="526"/>
        <item x="102"/>
        <item x="527"/>
        <item x="528"/>
        <item x="529"/>
        <item x="103"/>
        <item x="104"/>
        <item x="530"/>
        <item x="105"/>
        <item x="106"/>
        <item x="107"/>
        <item x="108"/>
        <item x="531"/>
        <item x="532"/>
        <item x="109"/>
        <item x="110"/>
        <item x="533"/>
        <item x="534"/>
        <item x="535"/>
        <item x="536"/>
        <item x="537"/>
        <item x="111"/>
        <item x="538"/>
        <item x="112"/>
        <item x="539"/>
        <item x="113"/>
        <item x="114"/>
        <item x="540"/>
        <item x="541"/>
        <item x="542"/>
        <item x="115"/>
        <item x="116"/>
        <item x="543"/>
        <item x="117"/>
        <item x="544"/>
        <item x="118"/>
        <item x="119"/>
        <item x="545"/>
        <item x="120"/>
        <item x="121"/>
        <item x="546"/>
        <item x="547"/>
        <item x="548"/>
        <item x="122"/>
        <item x="549"/>
        <item x="550"/>
        <item x="551"/>
        <item x="123"/>
        <item x="552"/>
        <item x="553"/>
        <item x="554"/>
        <item x="555"/>
        <item x="124"/>
        <item x="556"/>
        <item x="557"/>
        <item x="558"/>
        <item x="559"/>
        <item x="125"/>
        <item x="560"/>
        <item x="561"/>
        <item x="562"/>
        <item x="126"/>
        <item x="563"/>
        <item x="564"/>
        <item x="565"/>
        <item x="127"/>
        <item x="566"/>
        <item x="128"/>
        <item x="567"/>
        <item x="129"/>
        <item x="130"/>
        <item x="568"/>
        <item x="131"/>
        <item x="569"/>
        <item x="570"/>
        <item x="571"/>
        <item x="572"/>
        <item x="132"/>
        <item x="573"/>
        <item x="574"/>
        <item x="575"/>
        <item x="576"/>
        <item x="577"/>
        <item x="578"/>
        <item x="579"/>
        <item x="580"/>
        <item x="581"/>
        <item x="582"/>
        <item x="133"/>
        <item x="134"/>
        <item x="135"/>
        <item x="136"/>
        <item x="137"/>
        <item x="138"/>
        <item x="583"/>
        <item x="584"/>
        <item x="139"/>
        <item x="140"/>
        <item x="141"/>
        <item x="585"/>
        <item x="142"/>
        <item x="586"/>
        <item x="587"/>
        <item x="588"/>
        <item x="589"/>
        <item x="590"/>
        <item x="591"/>
        <item x="143"/>
        <item x="144"/>
        <item x="592"/>
        <item x="145"/>
        <item x="146"/>
        <item x="147"/>
        <item x="593"/>
        <item x="594"/>
        <item x="595"/>
        <item x="148"/>
        <item x="596"/>
        <item x="597"/>
        <item x="149"/>
        <item x="150"/>
        <item x="151"/>
        <item x="598"/>
        <item x="599"/>
        <item x="152"/>
        <item x="600"/>
        <item x="153"/>
        <item x="601"/>
        <item x="602"/>
        <item x="603"/>
        <item x="604"/>
        <item x="605"/>
        <item x="606"/>
        <item x="607"/>
        <item x="154"/>
        <item x="155"/>
        <item x="608"/>
        <item x="156"/>
        <item x="609"/>
        <item x="610"/>
        <item x="157"/>
        <item x="611"/>
        <item x="612"/>
        <item x="158"/>
        <item x="159"/>
        <item x="160"/>
        <item x="613"/>
        <item x="161"/>
        <item x="614"/>
        <item x="615"/>
        <item x="616"/>
        <item x="617"/>
        <item x="162"/>
        <item x="163"/>
        <item x="164"/>
        <item x="618"/>
        <item x="165"/>
        <item x="619"/>
        <item x="620"/>
        <item x="621"/>
        <item x="622"/>
        <item x="166"/>
        <item x="167"/>
        <item x="623"/>
        <item x="624"/>
        <item x="168"/>
        <item x="169"/>
        <item x="625"/>
        <item x="170"/>
        <item x="626"/>
        <item x="627"/>
        <item x="171"/>
        <item x="628"/>
        <item x="172"/>
        <item x="173"/>
        <item x="174"/>
        <item x="175"/>
        <item x="176"/>
        <item x="629"/>
        <item x="177"/>
        <item x="630"/>
        <item x="178"/>
        <item x="631"/>
        <item x="179"/>
        <item x="180"/>
        <item x="632"/>
        <item x="181"/>
        <item x="633"/>
        <item x="182"/>
        <item x="634"/>
        <item x="635"/>
        <item x="183"/>
        <item x="636"/>
        <item x="637"/>
        <item x="638"/>
        <item x="184"/>
        <item x="185"/>
        <item x="639"/>
        <item x="186"/>
        <item x="187"/>
        <item x="188"/>
        <item x="640"/>
        <item x="189"/>
        <item x="641"/>
        <item x="642"/>
        <item x="643"/>
        <item x="644"/>
        <item x="190"/>
        <item x="645"/>
        <item x="646"/>
        <item x="191"/>
        <item x="647"/>
        <item x="192"/>
        <item x="648"/>
        <item x="649"/>
        <item x="650"/>
        <item x="651"/>
        <item x="193"/>
        <item x="652"/>
        <item x="653"/>
        <item x="194"/>
        <item x="654"/>
        <item x="655"/>
        <item x="656"/>
        <item x="195"/>
        <item x="657"/>
        <item x="196"/>
        <item x="658"/>
        <item x="659"/>
        <item x="660"/>
        <item x="661"/>
        <item x="662"/>
        <item x="197"/>
        <item x="198"/>
        <item x="199"/>
        <item x="663"/>
        <item x="200"/>
        <item x="664"/>
        <item x="665"/>
        <item x="666"/>
        <item x="201"/>
        <item x="667"/>
        <item x="668"/>
        <item x="669"/>
        <item x="670"/>
        <item x="202"/>
        <item x="203"/>
        <item x="671"/>
        <item x="204"/>
        <item x="205"/>
        <item x="672"/>
        <item x="206"/>
        <item x="673"/>
        <item x="207"/>
        <item x="208"/>
        <item x="674"/>
        <item x="675"/>
        <item x="209"/>
        <item x="676"/>
        <item x="210"/>
        <item x="677"/>
        <item x="211"/>
        <item x="678"/>
        <item x="679"/>
        <item x="680"/>
        <item x="212"/>
        <item x="681"/>
        <item x="682"/>
        <item x="683"/>
        <item x="684"/>
        <item x="213"/>
        <item x="214"/>
        <item x="215"/>
        <item x="216"/>
        <item x="685"/>
        <item x="686"/>
        <item x="217"/>
        <item x="218"/>
        <item x="687"/>
        <item x="219"/>
        <item x="688"/>
        <item x="689"/>
        <item x="220"/>
        <item x="690"/>
        <item x="691"/>
        <item x="221"/>
        <item x="692"/>
        <item x="693"/>
        <item x="694"/>
        <item x="695"/>
        <item x="222"/>
        <item x="223"/>
        <item x="696"/>
        <item x="224"/>
        <item x="225"/>
        <item x="226"/>
        <item x="697"/>
        <item x="698"/>
        <item x="227"/>
        <item x="699"/>
        <item x="700"/>
        <item x="701"/>
        <item x="702"/>
        <item x="703"/>
        <item x="704"/>
        <item x="705"/>
        <item x="228"/>
        <item x="229"/>
        <item x="706"/>
        <item x="707"/>
        <item x="708"/>
        <item x="230"/>
        <item x="231"/>
        <item x="709"/>
        <item x="710"/>
        <item x="711"/>
        <item x="232"/>
        <item x="233"/>
        <item x="234"/>
        <item x="235"/>
        <item x="236"/>
        <item x="712"/>
        <item x="713"/>
        <item x="714"/>
        <item x="237"/>
        <item x="715"/>
        <item x="716"/>
        <item x="238"/>
        <item x="239"/>
        <item x="240"/>
        <item x="717"/>
        <item x="241"/>
        <item x="242"/>
        <item x="243"/>
        <item x="718"/>
        <item x="719"/>
        <item x="720"/>
        <item x="721"/>
        <item x="722"/>
        <item x="723"/>
        <item x="244"/>
        <item x="724"/>
        <item x="245"/>
        <item x="725"/>
        <item x="246"/>
        <item x="726"/>
        <item x="727"/>
        <item x="728"/>
        <item x="729"/>
        <item x="730"/>
        <item x="247"/>
        <item x="731"/>
        <item x="732"/>
        <item x="248"/>
        <item x="733"/>
        <item x="249"/>
        <item x="250"/>
        <item x="734"/>
        <item x="735"/>
        <item x="251"/>
        <item x="736"/>
        <item x="737"/>
        <item x="738"/>
        <item x="739"/>
        <item x="740"/>
        <item x="252"/>
        <item x="741"/>
        <item x="253"/>
        <item x="742"/>
        <item x="254"/>
        <item x="743"/>
        <item x="744"/>
        <item x="745"/>
        <item x="255"/>
        <item x="746"/>
        <item x="747"/>
        <item x="256"/>
        <item x="748"/>
        <item x="749"/>
        <item x="257"/>
        <item x="258"/>
        <item x="750"/>
        <item x="259"/>
        <item x="751"/>
        <item x="752"/>
        <item x="260"/>
        <item x="261"/>
        <item x="753"/>
        <item x="754"/>
        <item x="262"/>
        <item x="755"/>
        <item x="756"/>
        <item x="757"/>
        <item x="758"/>
        <item x="263"/>
        <item x="759"/>
        <item x="264"/>
        <item x="760"/>
        <item x="265"/>
        <item x="761"/>
        <item x="266"/>
        <item x="267"/>
        <item x="268"/>
        <item x="269"/>
        <item x="762"/>
        <item x="270"/>
        <item x="271"/>
        <item x="763"/>
        <item x="272"/>
        <item x="273"/>
        <item x="764"/>
        <item x="765"/>
        <item x="766"/>
        <item x="767"/>
        <item x="274"/>
        <item x="275"/>
        <item x="768"/>
        <item x="276"/>
        <item x="277"/>
        <item x="769"/>
        <item x="278"/>
        <item x="770"/>
        <item x="279"/>
        <item x="280"/>
        <item x="281"/>
        <item x="282"/>
        <item x="283"/>
        <item x="771"/>
        <item x="772"/>
        <item x="773"/>
        <item x="284"/>
        <item x="774"/>
        <item x="285"/>
        <item x="286"/>
        <item x="287"/>
        <item x="775"/>
        <item x="776"/>
        <item x="288"/>
        <item x="289"/>
        <item x="777"/>
        <item x="778"/>
        <item x="779"/>
        <item x="780"/>
        <item x="290"/>
        <item x="781"/>
        <item x="291"/>
        <item x="292"/>
        <item x="293"/>
        <item x="782"/>
        <item x="294"/>
        <item x="783"/>
        <item x="295"/>
        <item x="784"/>
        <item x="785"/>
        <item x="296"/>
        <item x="786"/>
        <item x="787"/>
        <item x="788"/>
        <item x="789"/>
        <item x="297"/>
        <item x="298"/>
        <item x="299"/>
        <item x="790"/>
        <item x="300"/>
        <item x="301"/>
        <item x="302"/>
        <item x="791"/>
        <item x="792"/>
        <item x="303"/>
        <item x="793"/>
        <item x="794"/>
        <item x="304"/>
        <item x="305"/>
        <item x="795"/>
        <item x="306"/>
        <item x="796"/>
        <item x="797"/>
        <item x="307"/>
        <item x="308"/>
        <item x="798"/>
        <item x="799"/>
        <item x="800"/>
        <item x="309"/>
        <item x="801"/>
        <item x="802"/>
        <item x="803"/>
        <item x="804"/>
        <item x="805"/>
        <item x="806"/>
        <item x="310"/>
        <item x="807"/>
        <item x="808"/>
        <item x="311"/>
        <item x="312"/>
        <item x="809"/>
        <item x="313"/>
        <item x="810"/>
        <item x="314"/>
        <item x="811"/>
        <item x="812"/>
        <item x="813"/>
        <item x="814"/>
        <item x="815"/>
        <item x="816"/>
        <item x="315"/>
        <item x="817"/>
        <item x="818"/>
        <item x="316"/>
        <item x="819"/>
        <item x="820"/>
        <item x="821"/>
        <item x="317"/>
        <item x="822"/>
        <item x="823"/>
        <item x="824"/>
        <item x="825"/>
        <item x="826"/>
        <item x="827"/>
        <item x="828"/>
        <item x="829"/>
        <item x="830"/>
        <item x="318"/>
        <item x="319"/>
        <item x="831"/>
        <item x="832"/>
        <item x="320"/>
        <item x="833"/>
        <item x="834"/>
        <item x="321"/>
        <item x="322"/>
        <item x="323"/>
        <item x="835"/>
        <item x="836"/>
        <item x="324"/>
        <item x="837"/>
        <item x="838"/>
        <item x="839"/>
        <item x="840"/>
        <item x="841"/>
        <item x="325"/>
        <item x="326"/>
        <item x="842"/>
        <item x="843"/>
        <item x="844"/>
        <item x="845"/>
        <item x="846"/>
        <item x="847"/>
        <item x="848"/>
        <item x="327"/>
        <item x="849"/>
        <item x="850"/>
        <item x="328"/>
        <item x="851"/>
        <item x="329"/>
        <item x="852"/>
        <item x="853"/>
        <item x="854"/>
        <item x="855"/>
        <item x="330"/>
        <item x="331"/>
        <item x="856"/>
        <item x="857"/>
        <item x="858"/>
        <item x="859"/>
        <item x="860"/>
        <item x="861"/>
        <item x="332"/>
        <item x="333"/>
        <item x="862"/>
        <item x="334"/>
        <item x="335"/>
        <item x="863"/>
        <item x="336"/>
        <item x="864"/>
        <item x="337"/>
        <item x="338"/>
        <item x="865"/>
        <item x="866"/>
        <item x="867"/>
        <item x="339"/>
        <item x="868"/>
        <item x="869"/>
        <item x="870"/>
        <item x="871"/>
        <item x="340"/>
        <item x="872"/>
        <item x="873"/>
        <item x="874"/>
        <item x="341"/>
        <item x="342"/>
        <item x="875"/>
        <item x="876"/>
        <item x="343"/>
        <item x="877"/>
        <item x="878"/>
        <item x="344"/>
        <item x="345"/>
        <item x="879"/>
        <item x="880"/>
        <item x="346"/>
        <item x="881"/>
        <item x="882"/>
        <item x="347"/>
        <item x="348"/>
        <item x="883"/>
        <item x="884"/>
        <item x="349"/>
        <item x="885"/>
        <item x="886"/>
        <item x="887"/>
        <item x="888"/>
        <item x="889"/>
        <item x="890"/>
        <item x="891"/>
        <item x="892"/>
        <item x="350"/>
        <item x="893"/>
        <item x="351"/>
        <item x="352"/>
        <item x="894"/>
        <item x="895"/>
        <item x="353"/>
        <item x="896"/>
        <item x="897"/>
        <item x="898"/>
        <item x="899"/>
        <item x="354"/>
        <item x="900"/>
        <item x="901"/>
        <item x="902"/>
        <item x="903"/>
        <item x="904"/>
        <item x="905"/>
        <item x="906"/>
        <item x="355"/>
        <item x="356"/>
        <item x="357"/>
        <item x="907"/>
        <item x="358"/>
        <item x="908"/>
        <item x="909"/>
        <item x="910"/>
        <item x="359"/>
        <item x="360"/>
        <item x="911"/>
        <item x="361"/>
        <item x="362"/>
        <item x="912"/>
        <item x="913"/>
        <item x="914"/>
        <item x="915"/>
        <item x="363"/>
        <item x="916"/>
        <item x="917"/>
        <item x="364"/>
        <item x="365"/>
        <item x="366"/>
        <item x="918"/>
        <item x="367"/>
        <item x="919"/>
        <item x="368"/>
        <item x="369"/>
        <item x="920"/>
        <item x="370"/>
        <item x="921"/>
        <item x="922"/>
        <item x="923"/>
        <item x="924"/>
        <item x="925"/>
        <item x="371"/>
        <item x="372"/>
        <item x="926"/>
        <item x="927"/>
        <item x="373"/>
        <item x="928"/>
        <item x="929"/>
        <item x="374"/>
        <item x="375"/>
        <item x="376"/>
        <item x="930"/>
        <item x="377"/>
        <item x="378"/>
        <item x="931"/>
        <item x="379"/>
        <item x="932"/>
        <item x="933"/>
        <item x="934"/>
        <item x="380"/>
        <item x="381"/>
        <item x="382"/>
        <item x="935"/>
        <item x="383"/>
        <item x="936"/>
        <item x="384"/>
        <item x="385"/>
        <item x="386"/>
        <item x="937"/>
        <item x="387"/>
        <item x="938"/>
        <item x="939"/>
        <item x="940"/>
        <item x="941"/>
        <item x="942"/>
        <item x="943"/>
        <item x="944"/>
        <item x="945"/>
        <item x="388"/>
        <item x="389"/>
        <item x="946"/>
        <item x="390"/>
        <item x="947"/>
        <item x="391"/>
        <item x="392"/>
        <item x="393"/>
        <item x="948"/>
        <item x="394"/>
        <item t="default"/>
      </items>
    </pivotField>
    <pivotField numFmtId="165" showAll="0"/>
    <pivotField numFmtId="166" showAll="0"/>
    <pivotField showAll="0">
      <items count="14">
        <item x="8"/>
        <item x="6"/>
        <item x="12"/>
        <item x="2"/>
        <item x="0"/>
        <item x="5"/>
        <item x="1"/>
        <item x="7"/>
        <item x="9"/>
        <item x="3"/>
        <item x="10"/>
        <item x="11"/>
        <item x="4"/>
        <item t="default"/>
      </items>
    </pivotField>
    <pivotField showAll="0">
      <items count="142">
        <item x="30"/>
        <item x="17"/>
        <item x="121"/>
        <item x="34"/>
        <item x="45"/>
        <item x="113"/>
        <item x="74"/>
        <item x="136"/>
        <item x="131"/>
        <item x="8"/>
        <item x="4"/>
        <item x="93"/>
        <item x="118"/>
        <item x="130"/>
        <item x="48"/>
        <item x="101"/>
        <item x="124"/>
        <item x="64"/>
        <item x="79"/>
        <item x="68"/>
        <item x="25"/>
        <item x="6"/>
        <item x="116"/>
        <item x="135"/>
        <item x="22"/>
        <item x="77"/>
        <item x="43"/>
        <item x="5"/>
        <item x="137"/>
        <item x="86"/>
        <item x="55"/>
        <item x="1"/>
        <item x="80"/>
        <item x="67"/>
        <item x="58"/>
        <item x="122"/>
        <item x="78"/>
        <item x="127"/>
        <item x="12"/>
        <item x="128"/>
        <item x="96"/>
        <item x="62"/>
        <item x="82"/>
        <item x="126"/>
        <item x="44"/>
        <item x="66"/>
        <item x="40"/>
        <item x="99"/>
        <item x="94"/>
        <item x="53"/>
        <item x="119"/>
        <item x="9"/>
        <item x="20"/>
        <item x="36"/>
        <item x="15"/>
        <item x="85"/>
        <item x="63"/>
        <item x="56"/>
        <item x="92"/>
        <item x="75"/>
        <item x="47"/>
        <item x="39"/>
        <item x="120"/>
        <item x="23"/>
        <item x="60"/>
        <item x="70"/>
        <item x="13"/>
        <item x="3"/>
        <item x="111"/>
        <item x="103"/>
        <item x="84"/>
        <item x="73"/>
        <item x="76"/>
        <item x="14"/>
        <item x="125"/>
        <item x="18"/>
        <item x="28"/>
        <item x="41"/>
        <item x="138"/>
        <item x="46"/>
        <item x="133"/>
        <item x="0"/>
        <item x="57"/>
        <item x="100"/>
        <item x="38"/>
        <item x="24"/>
        <item x="88"/>
        <item x="42"/>
        <item x="107"/>
        <item x="110"/>
        <item x="109"/>
        <item x="71"/>
        <item x="104"/>
        <item x="10"/>
        <item x="105"/>
        <item x="89"/>
        <item x="61"/>
        <item x="90"/>
        <item x="132"/>
        <item x="51"/>
        <item x="11"/>
        <item x="50"/>
        <item x="59"/>
        <item x="95"/>
        <item x="32"/>
        <item x="54"/>
        <item x="139"/>
        <item x="102"/>
        <item x="123"/>
        <item x="134"/>
        <item x="31"/>
        <item x="140"/>
        <item x="81"/>
        <item x="108"/>
        <item x="7"/>
        <item x="16"/>
        <item x="91"/>
        <item x="87"/>
        <item x="106"/>
        <item x="21"/>
        <item x="129"/>
        <item x="26"/>
        <item x="97"/>
        <item x="65"/>
        <item x="19"/>
        <item x="49"/>
        <item x="2"/>
        <item x="52"/>
        <item x="29"/>
        <item x="117"/>
        <item x="37"/>
        <item x="72"/>
        <item x="115"/>
        <item x="114"/>
        <item x="27"/>
        <item x="83"/>
        <item x="33"/>
        <item x="112"/>
        <item x="98"/>
        <item x="35"/>
        <item x="69"/>
        <item t="default"/>
      </items>
    </pivotField>
    <pivotField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Fields count="1">
    <field x="3"/>
  </rowFields>
  <rowItems count="8">
    <i>
      <x/>
    </i>
    <i>
      <x v="1"/>
    </i>
    <i>
      <x v="2"/>
    </i>
    <i>
      <x v="3"/>
    </i>
    <i>
      <x v="4"/>
    </i>
    <i>
      <x v="5"/>
    </i>
    <i>
      <x v="6"/>
    </i>
    <i t="grand">
      <x/>
    </i>
  </rowItems>
  <colFields count="1">
    <field x="8"/>
  </colFields>
  <colItems count="5">
    <i>
      <x/>
    </i>
    <i>
      <x v="1"/>
    </i>
    <i>
      <x v="2"/>
    </i>
    <i>
      <x v="3"/>
    </i>
    <i t="grand">
      <x/>
    </i>
  </colItems>
  <dataFields count="1">
    <dataField name="Count of Age Group" fld="8" subtotal="count" baseField="0" baseItem="0"/>
  </dataFields>
  <chartFormats count="5">
    <chartFormat chart="12" format="8" series="1">
      <pivotArea type="data" outline="0" fieldPosition="0">
        <references count="2">
          <reference field="4294967294" count="1" selected="0">
            <x v="0"/>
          </reference>
          <reference field="8" count="1" selected="0">
            <x v="0"/>
          </reference>
        </references>
      </pivotArea>
    </chartFormat>
    <chartFormat chart="12" format="9" series="1">
      <pivotArea type="data" outline="0" fieldPosition="0">
        <references count="2">
          <reference field="4294967294" count="1" selected="0">
            <x v="0"/>
          </reference>
          <reference field="8" count="1" selected="0">
            <x v="1"/>
          </reference>
        </references>
      </pivotArea>
    </chartFormat>
    <chartFormat chart="12" format="10" series="1">
      <pivotArea type="data" outline="0" fieldPosition="0">
        <references count="2">
          <reference field="4294967294" count="1" selected="0">
            <x v="0"/>
          </reference>
          <reference field="8" count="1" selected="0">
            <x v="2"/>
          </reference>
        </references>
      </pivotArea>
    </chartFormat>
    <chartFormat chart="12" format="11" series="1">
      <pivotArea type="data" outline="0" fieldPosition="0">
        <references count="2">
          <reference field="4294967294" count="1" selected="0">
            <x v="0"/>
          </reference>
          <reference field="8" count="1" selected="0">
            <x v="3"/>
          </reference>
        </references>
      </pivotArea>
    </chartFormat>
    <chartFormat chart="1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A54FFD-94C2-4F1F-8AF4-5498E688AD9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8:I154" firstHeaderRow="1" firstDataRow="2" firstDataCol="1"/>
  <pivotFields count="18">
    <pivotField showAll="0"/>
    <pivotField showAll="0"/>
    <pivotField axis="axisRow" showAll="0">
      <items count="35">
        <item x="17"/>
        <item x="21"/>
        <item x="16"/>
        <item x="33"/>
        <item x="11"/>
        <item x="8"/>
        <item x="27"/>
        <item x="14"/>
        <item x="29"/>
        <item x="1"/>
        <item x="0"/>
        <item x="26"/>
        <item x="3"/>
        <item x="28"/>
        <item x="18"/>
        <item x="23"/>
        <item x="7"/>
        <item x="5"/>
        <item x="30"/>
        <item x="20"/>
        <item x="19"/>
        <item x="9"/>
        <item x="22"/>
        <item x="24"/>
        <item x="31"/>
        <item x="25"/>
        <item x="4"/>
        <item x="6"/>
        <item x="10"/>
        <item x="13"/>
        <item x="15"/>
        <item x="2"/>
        <item x="32"/>
        <item x="12"/>
        <item t="default"/>
      </items>
    </pivotField>
    <pivotField axis="axisCol" showAll="0">
      <items count="8">
        <item x="6"/>
        <item x="0"/>
        <item x="5"/>
        <item x="3"/>
        <item x="2"/>
        <item x="4"/>
        <item x="1"/>
        <item t="default"/>
      </items>
    </pivotField>
    <pivotField showAll="0"/>
    <pivotField showAll="0"/>
    <pivotField showAll="0"/>
    <pivotField showAll="0"/>
    <pivotField showAll="0"/>
    <pivotField numFmtId="14" showAll="0">
      <items count="950">
        <item x="0"/>
        <item x="1"/>
        <item x="395"/>
        <item x="396"/>
        <item x="2"/>
        <item x="397"/>
        <item x="398"/>
        <item x="399"/>
        <item x="3"/>
        <item x="400"/>
        <item x="401"/>
        <item x="402"/>
        <item x="403"/>
        <item x="404"/>
        <item x="405"/>
        <item x="4"/>
        <item x="5"/>
        <item x="406"/>
        <item x="6"/>
        <item x="407"/>
        <item x="408"/>
        <item x="7"/>
        <item x="409"/>
        <item x="410"/>
        <item x="411"/>
        <item x="412"/>
        <item x="8"/>
        <item x="413"/>
        <item x="414"/>
        <item x="9"/>
        <item x="10"/>
        <item x="415"/>
        <item x="416"/>
        <item x="11"/>
        <item x="12"/>
        <item x="417"/>
        <item x="13"/>
        <item x="418"/>
        <item x="419"/>
        <item x="420"/>
        <item x="14"/>
        <item x="421"/>
        <item x="422"/>
        <item x="15"/>
        <item x="423"/>
        <item x="16"/>
        <item x="424"/>
        <item x="17"/>
        <item x="18"/>
        <item x="19"/>
        <item x="425"/>
        <item x="20"/>
        <item x="21"/>
        <item x="22"/>
        <item x="426"/>
        <item x="427"/>
        <item x="428"/>
        <item x="23"/>
        <item x="429"/>
        <item x="430"/>
        <item x="24"/>
        <item x="431"/>
        <item x="432"/>
        <item x="433"/>
        <item x="434"/>
        <item x="435"/>
        <item x="25"/>
        <item x="436"/>
        <item x="437"/>
        <item x="26"/>
        <item x="438"/>
        <item x="439"/>
        <item x="27"/>
        <item x="440"/>
        <item x="28"/>
        <item x="29"/>
        <item x="441"/>
        <item x="442"/>
        <item x="443"/>
        <item x="30"/>
        <item x="31"/>
        <item x="444"/>
        <item x="445"/>
        <item x="446"/>
        <item x="447"/>
        <item x="32"/>
        <item x="33"/>
        <item x="34"/>
        <item x="448"/>
        <item x="35"/>
        <item x="449"/>
        <item x="450"/>
        <item x="36"/>
        <item x="37"/>
        <item x="38"/>
        <item x="451"/>
        <item x="452"/>
        <item x="39"/>
        <item x="453"/>
        <item x="40"/>
        <item x="41"/>
        <item x="454"/>
        <item x="42"/>
        <item x="43"/>
        <item x="455"/>
        <item x="456"/>
        <item x="44"/>
        <item x="45"/>
        <item x="46"/>
        <item x="457"/>
        <item x="47"/>
        <item x="48"/>
        <item x="458"/>
        <item x="49"/>
        <item x="459"/>
        <item x="50"/>
        <item x="51"/>
        <item x="460"/>
        <item x="461"/>
        <item x="52"/>
        <item x="53"/>
        <item x="462"/>
        <item x="463"/>
        <item x="54"/>
        <item x="464"/>
        <item x="55"/>
        <item x="465"/>
        <item x="56"/>
        <item x="466"/>
        <item x="467"/>
        <item x="468"/>
        <item x="57"/>
        <item x="58"/>
        <item x="469"/>
        <item x="470"/>
        <item x="59"/>
        <item x="471"/>
        <item x="60"/>
        <item x="61"/>
        <item x="62"/>
        <item x="63"/>
        <item x="472"/>
        <item x="64"/>
        <item x="473"/>
        <item x="474"/>
        <item x="475"/>
        <item x="65"/>
        <item x="66"/>
        <item x="67"/>
        <item x="68"/>
        <item x="69"/>
        <item x="476"/>
        <item x="477"/>
        <item x="70"/>
        <item x="478"/>
        <item x="479"/>
        <item x="71"/>
        <item x="72"/>
        <item x="480"/>
        <item x="481"/>
        <item x="482"/>
        <item x="73"/>
        <item x="74"/>
        <item x="75"/>
        <item x="76"/>
        <item x="77"/>
        <item x="78"/>
        <item x="483"/>
        <item x="79"/>
        <item x="484"/>
        <item x="80"/>
        <item x="485"/>
        <item x="486"/>
        <item x="487"/>
        <item x="81"/>
        <item x="82"/>
        <item x="488"/>
        <item x="489"/>
        <item x="490"/>
        <item x="491"/>
        <item x="492"/>
        <item x="493"/>
        <item x="494"/>
        <item x="495"/>
        <item x="496"/>
        <item x="83"/>
        <item x="497"/>
        <item x="84"/>
        <item x="498"/>
        <item x="85"/>
        <item x="499"/>
        <item x="86"/>
        <item x="500"/>
        <item x="87"/>
        <item x="501"/>
        <item x="502"/>
        <item x="503"/>
        <item x="88"/>
        <item x="504"/>
        <item x="505"/>
        <item x="89"/>
        <item x="90"/>
        <item x="506"/>
        <item x="91"/>
        <item x="507"/>
        <item x="508"/>
        <item x="509"/>
        <item x="92"/>
        <item x="510"/>
        <item x="511"/>
        <item x="93"/>
        <item x="512"/>
        <item x="513"/>
        <item x="514"/>
        <item x="94"/>
        <item x="515"/>
        <item x="95"/>
        <item x="516"/>
        <item x="517"/>
        <item x="96"/>
        <item x="518"/>
        <item x="97"/>
        <item x="519"/>
        <item x="98"/>
        <item x="99"/>
        <item x="100"/>
        <item x="520"/>
        <item x="521"/>
        <item x="522"/>
        <item x="101"/>
        <item x="523"/>
        <item x="524"/>
        <item x="525"/>
        <item x="526"/>
        <item x="102"/>
        <item x="527"/>
        <item x="528"/>
        <item x="529"/>
        <item x="103"/>
        <item x="104"/>
        <item x="530"/>
        <item x="105"/>
        <item x="106"/>
        <item x="107"/>
        <item x="108"/>
        <item x="531"/>
        <item x="532"/>
        <item x="109"/>
        <item x="110"/>
        <item x="533"/>
        <item x="534"/>
        <item x="535"/>
        <item x="536"/>
        <item x="537"/>
        <item x="111"/>
        <item x="538"/>
        <item x="112"/>
        <item x="539"/>
        <item x="113"/>
        <item x="114"/>
        <item x="540"/>
        <item x="541"/>
        <item x="542"/>
        <item x="115"/>
        <item x="116"/>
        <item x="543"/>
        <item x="117"/>
        <item x="544"/>
        <item x="118"/>
        <item x="119"/>
        <item x="545"/>
        <item x="120"/>
        <item x="121"/>
        <item x="546"/>
        <item x="547"/>
        <item x="548"/>
        <item x="122"/>
        <item x="549"/>
        <item x="550"/>
        <item x="551"/>
        <item x="123"/>
        <item x="552"/>
        <item x="553"/>
        <item x="554"/>
        <item x="555"/>
        <item x="124"/>
        <item x="556"/>
        <item x="557"/>
        <item x="558"/>
        <item x="559"/>
        <item x="125"/>
        <item x="560"/>
        <item x="561"/>
        <item x="562"/>
        <item x="126"/>
        <item x="563"/>
        <item x="564"/>
        <item x="565"/>
        <item x="127"/>
        <item x="566"/>
        <item x="128"/>
        <item x="567"/>
        <item x="129"/>
        <item x="130"/>
        <item x="568"/>
        <item x="131"/>
        <item x="569"/>
        <item x="570"/>
        <item x="571"/>
        <item x="572"/>
        <item x="132"/>
        <item x="573"/>
        <item x="574"/>
        <item x="575"/>
        <item x="576"/>
        <item x="577"/>
        <item x="578"/>
        <item x="579"/>
        <item x="580"/>
        <item x="581"/>
        <item x="582"/>
        <item x="133"/>
        <item x="134"/>
        <item x="135"/>
        <item x="136"/>
        <item x="137"/>
        <item x="138"/>
        <item x="583"/>
        <item x="584"/>
        <item x="139"/>
        <item x="140"/>
        <item x="141"/>
        <item x="585"/>
        <item x="142"/>
        <item x="586"/>
        <item x="587"/>
        <item x="588"/>
        <item x="589"/>
        <item x="590"/>
        <item x="591"/>
        <item x="143"/>
        <item x="144"/>
        <item x="592"/>
        <item x="145"/>
        <item x="146"/>
        <item x="147"/>
        <item x="593"/>
        <item x="594"/>
        <item x="595"/>
        <item x="148"/>
        <item x="596"/>
        <item x="597"/>
        <item x="149"/>
        <item x="150"/>
        <item x="151"/>
        <item x="598"/>
        <item x="599"/>
        <item x="152"/>
        <item x="600"/>
        <item x="153"/>
        <item x="601"/>
        <item x="602"/>
        <item x="603"/>
        <item x="604"/>
        <item x="605"/>
        <item x="606"/>
        <item x="607"/>
        <item x="154"/>
        <item x="155"/>
        <item x="608"/>
        <item x="156"/>
        <item x="609"/>
        <item x="610"/>
        <item x="157"/>
        <item x="611"/>
        <item x="612"/>
        <item x="158"/>
        <item x="159"/>
        <item x="160"/>
        <item x="613"/>
        <item x="161"/>
        <item x="614"/>
        <item x="615"/>
        <item x="616"/>
        <item x="617"/>
        <item x="162"/>
        <item x="163"/>
        <item x="164"/>
        <item x="618"/>
        <item x="165"/>
        <item x="619"/>
        <item x="620"/>
        <item x="621"/>
        <item x="622"/>
        <item x="166"/>
        <item x="167"/>
        <item x="623"/>
        <item x="624"/>
        <item x="168"/>
        <item x="169"/>
        <item x="625"/>
        <item x="170"/>
        <item x="626"/>
        <item x="627"/>
        <item x="171"/>
        <item x="628"/>
        <item x="172"/>
        <item x="173"/>
        <item x="174"/>
        <item x="175"/>
        <item x="176"/>
        <item x="629"/>
        <item x="177"/>
        <item x="630"/>
        <item x="178"/>
        <item x="631"/>
        <item x="179"/>
        <item x="180"/>
        <item x="632"/>
        <item x="181"/>
        <item x="633"/>
        <item x="182"/>
        <item x="634"/>
        <item x="635"/>
        <item x="183"/>
        <item x="636"/>
        <item x="637"/>
        <item x="638"/>
        <item x="184"/>
        <item x="185"/>
        <item x="639"/>
        <item x="186"/>
        <item x="187"/>
        <item x="188"/>
        <item x="640"/>
        <item x="189"/>
        <item x="641"/>
        <item x="642"/>
        <item x="643"/>
        <item x="644"/>
        <item x="190"/>
        <item x="645"/>
        <item x="646"/>
        <item x="191"/>
        <item x="647"/>
        <item x="192"/>
        <item x="648"/>
        <item x="649"/>
        <item x="650"/>
        <item x="651"/>
        <item x="193"/>
        <item x="652"/>
        <item x="653"/>
        <item x="194"/>
        <item x="654"/>
        <item x="655"/>
        <item x="656"/>
        <item x="195"/>
        <item x="657"/>
        <item x="196"/>
        <item x="658"/>
        <item x="659"/>
        <item x="660"/>
        <item x="661"/>
        <item x="662"/>
        <item x="197"/>
        <item x="198"/>
        <item x="199"/>
        <item x="663"/>
        <item x="200"/>
        <item x="664"/>
        <item x="665"/>
        <item x="666"/>
        <item x="201"/>
        <item x="667"/>
        <item x="668"/>
        <item x="669"/>
        <item x="670"/>
        <item x="202"/>
        <item x="203"/>
        <item x="671"/>
        <item x="204"/>
        <item x="205"/>
        <item x="672"/>
        <item x="206"/>
        <item x="673"/>
        <item x="207"/>
        <item x="208"/>
        <item x="674"/>
        <item x="675"/>
        <item x="209"/>
        <item x="676"/>
        <item x="210"/>
        <item x="677"/>
        <item x="211"/>
        <item x="678"/>
        <item x="679"/>
        <item x="680"/>
        <item x="212"/>
        <item x="681"/>
        <item x="682"/>
        <item x="683"/>
        <item x="684"/>
        <item x="213"/>
        <item x="214"/>
        <item x="215"/>
        <item x="216"/>
        <item x="685"/>
        <item x="686"/>
        <item x="217"/>
        <item x="218"/>
        <item x="687"/>
        <item x="219"/>
        <item x="688"/>
        <item x="689"/>
        <item x="220"/>
        <item x="690"/>
        <item x="691"/>
        <item x="221"/>
        <item x="692"/>
        <item x="693"/>
        <item x="694"/>
        <item x="695"/>
        <item x="222"/>
        <item x="223"/>
        <item x="696"/>
        <item x="224"/>
        <item x="225"/>
        <item x="226"/>
        <item x="697"/>
        <item x="698"/>
        <item x="227"/>
        <item x="699"/>
        <item x="700"/>
        <item x="701"/>
        <item x="702"/>
        <item x="703"/>
        <item x="704"/>
        <item x="705"/>
        <item x="228"/>
        <item x="229"/>
        <item x="706"/>
        <item x="707"/>
        <item x="708"/>
        <item x="230"/>
        <item x="231"/>
        <item x="709"/>
        <item x="710"/>
        <item x="711"/>
        <item x="232"/>
        <item x="233"/>
        <item x="234"/>
        <item x="235"/>
        <item x="236"/>
        <item x="712"/>
        <item x="713"/>
        <item x="714"/>
        <item x="237"/>
        <item x="715"/>
        <item x="716"/>
        <item x="238"/>
        <item x="239"/>
        <item x="240"/>
        <item x="717"/>
        <item x="241"/>
        <item x="242"/>
        <item x="243"/>
        <item x="718"/>
        <item x="719"/>
        <item x="720"/>
        <item x="721"/>
        <item x="722"/>
        <item x="723"/>
        <item x="244"/>
        <item x="724"/>
        <item x="245"/>
        <item x="725"/>
        <item x="246"/>
        <item x="726"/>
        <item x="727"/>
        <item x="728"/>
        <item x="729"/>
        <item x="730"/>
        <item x="247"/>
        <item x="731"/>
        <item x="732"/>
        <item x="248"/>
        <item x="733"/>
        <item x="249"/>
        <item x="250"/>
        <item x="734"/>
        <item x="735"/>
        <item x="251"/>
        <item x="736"/>
        <item x="737"/>
        <item x="738"/>
        <item x="739"/>
        <item x="740"/>
        <item x="252"/>
        <item x="741"/>
        <item x="253"/>
        <item x="742"/>
        <item x="254"/>
        <item x="743"/>
        <item x="744"/>
        <item x="745"/>
        <item x="255"/>
        <item x="746"/>
        <item x="747"/>
        <item x="256"/>
        <item x="748"/>
        <item x="749"/>
        <item x="257"/>
        <item x="258"/>
        <item x="750"/>
        <item x="259"/>
        <item x="751"/>
        <item x="752"/>
        <item x="260"/>
        <item x="261"/>
        <item x="753"/>
        <item x="754"/>
        <item x="262"/>
        <item x="755"/>
        <item x="756"/>
        <item x="757"/>
        <item x="758"/>
        <item x="263"/>
        <item x="759"/>
        <item x="264"/>
        <item x="760"/>
        <item x="265"/>
        <item x="761"/>
        <item x="266"/>
        <item x="267"/>
        <item x="268"/>
        <item x="269"/>
        <item x="762"/>
        <item x="270"/>
        <item x="271"/>
        <item x="763"/>
        <item x="272"/>
        <item x="273"/>
        <item x="764"/>
        <item x="765"/>
        <item x="766"/>
        <item x="767"/>
        <item x="274"/>
        <item x="275"/>
        <item x="768"/>
        <item x="276"/>
        <item x="277"/>
        <item x="769"/>
        <item x="278"/>
        <item x="770"/>
        <item x="279"/>
        <item x="280"/>
        <item x="281"/>
        <item x="282"/>
        <item x="283"/>
        <item x="771"/>
        <item x="772"/>
        <item x="773"/>
        <item x="284"/>
        <item x="774"/>
        <item x="285"/>
        <item x="286"/>
        <item x="287"/>
        <item x="775"/>
        <item x="776"/>
        <item x="288"/>
        <item x="289"/>
        <item x="777"/>
        <item x="778"/>
        <item x="779"/>
        <item x="780"/>
        <item x="290"/>
        <item x="781"/>
        <item x="291"/>
        <item x="292"/>
        <item x="293"/>
        <item x="782"/>
        <item x="294"/>
        <item x="783"/>
        <item x="295"/>
        <item x="784"/>
        <item x="785"/>
        <item x="296"/>
        <item x="786"/>
        <item x="787"/>
        <item x="788"/>
        <item x="789"/>
        <item x="297"/>
        <item x="298"/>
        <item x="299"/>
        <item x="790"/>
        <item x="300"/>
        <item x="301"/>
        <item x="302"/>
        <item x="791"/>
        <item x="792"/>
        <item x="303"/>
        <item x="793"/>
        <item x="794"/>
        <item x="304"/>
        <item x="305"/>
        <item x="795"/>
        <item x="306"/>
        <item x="796"/>
        <item x="797"/>
        <item x="307"/>
        <item x="308"/>
        <item x="798"/>
        <item x="799"/>
        <item x="800"/>
        <item x="309"/>
        <item x="801"/>
        <item x="802"/>
        <item x="803"/>
        <item x="804"/>
        <item x="805"/>
        <item x="806"/>
        <item x="310"/>
        <item x="807"/>
        <item x="808"/>
        <item x="311"/>
        <item x="312"/>
        <item x="809"/>
        <item x="313"/>
        <item x="810"/>
        <item x="314"/>
        <item x="811"/>
        <item x="812"/>
        <item x="813"/>
        <item x="814"/>
        <item x="815"/>
        <item x="816"/>
        <item x="315"/>
        <item x="817"/>
        <item x="818"/>
        <item x="316"/>
        <item x="819"/>
        <item x="820"/>
        <item x="821"/>
        <item x="317"/>
        <item x="822"/>
        <item x="823"/>
        <item x="824"/>
        <item x="825"/>
        <item x="826"/>
        <item x="827"/>
        <item x="828"/>
        <item x="829"/>
        <item x="830"/>
        <item x="318"/>
        <item x="319"/>
        <item x="831"/>
        <item x="832"/>
        <item x="320"/>
        <item x="833"/>
        <item x="834"/>
        <item x="321"/>
        <item x="322"/>
        <item x="323"/>
        <item x="835"/>
        <item x="836"/>
        <item x="324"/>
        <item x="837"/>
        <item x="838"/>
        <item x="839"/>
        <item x="840"/>
        <item x="841"/>
        <item x="325"/>
        <item x="326"/>
        <item x="842"/>
        <item x="843"/>
        <item x="844"/>
        <item x="845"/>
        <item x="846"/>
        <item x="847"/>
        <item x="848"/>
        <item x="327"/>
        <item x="849"/>
        <item x="850"/>
        <item x="328"/>
        <item x="851"/>
        <item x="329"/>
        <item x="852"/>
        <item x="853"/>
        <item x="854"/>
        <item x="855"/>
        <item x="330"/>
        <item x="331"/>
        <item x="856"/>
        <item x="857"/>
        <item x="858"/>
        <item x="859"/>
        <item x="860"/>
        <item x="861"/>
        <item x="332"/>
        <item x="333"/>
        <item x="862"/>
        <item x="334"/>
        <item x="335"/>
        <item x="863"/>
        <item x="336"/>
        <item x="864"/>
        <item x="337"/>
        <item x="338"/>
        <item x="865"/>
        <item x="866"/>
        <item x="867"/>
        <item x="339"/>
        <item x="868"/>
        <item x="869"/>
        <item x="870"/>
        <item x="871"/>
        <item x="340"/>
        <item x="872"/>
        <item x="873"/>
        <item x="874"/>
        <item x="341"/>
        <item x="342"/>
        <item x="875"/>
        <item x="876"/>
        <item x="343"/>
        <item x="877"/>
        <item x="878"/>
        <item x="344"/>
        <item x="345"/>
        <item x="879"/>
        <item x="880"/>
        <item x="346"/>
        <item x="881"/>
        <item x="882"/>
        <item x="347"/>
        <item x="348"/>
        <item x="883"/>
        <item x="884"/>
        <item x="349"/>
        <item x="885"/>
        <item x="886"/>
        <item x="887"/>
        <item x="888"/>
        <item x="889"/>
        <item x="890"/>
        <item x="891"/>
        <item x="892"/>
        <item x="350"/>
        <item x="893"/>
        <item x="351"/>
        <item x="352"/>
        <item x="894"/>
        <item x="895"/>
        <item x="353"/>
        <item x="896"/>
        <item x="897"/>
        <item x="898"/>
        <item x="899"/>
        <item x="354"/>
        <item x="900"/>
        <item x="901"/>
        <item x="902"/>
        <item x="903"/>
        <item x="904"/>
        <item x="905"/>
        <item x="906"/>
        <item x="355"/>
        <item x="356"/>
        <item x="357"/>
        <item x="907"/>
        <item x="358"/>
        <item x="908"/>
        <item x="909"/>
        <item x="910"/>
        <item x="359"/>
        <item x="360"/>
        <item x="911"/>
        <item x="361"/>
        <item x="362"/>
        <item x="912"/>
        <item x="913"/>
        <item x="914"/>
        <item x="915"/>
        <item x="363"/>
        <item x="916"/>
        <item x="917"/>
        <item x="364"/>
        <item x="365"/>
        <item x="366"/>
        <item x="918"/>
        <item x="367"/>
        <item x="919"/>
        <item x="368"/>
        <item x="369"/>
        <item x="920"/>
        <item x="370"/>
        <item x="921"/>
        <item x="922"/>
        <item x="923"/>
        <item x="924"/>
        <item x="925"/>
        <item x="371"/>
        <item x="372"/>
        <item x="926"/>
        <item x="927"/>
        <item x="373"/>
        <item x="928"/>
        <item x="929"/>
        <item x="374"/>
        <item x="375"/>
        <item x="376"/>
        <item x="930"/>
        <item x="377"/>
        <item x="378"/>
        <item x="931"/>
        <item x="379"/>
        <item x="932"/>
        <item x="933"/>
        <item x="934"/>
        <item x="380"/>
        <item x="381"/>
        <item x="382"/>
        <item x="935"/>
        <item x="383"/>
        <item x="936"/>
        <item x="384"/>
        <item x="385"/>
        <item x="386"/>
        <item x="937"/>
        <item x="387"/>
        <item x="938"/>
        <item x="939"/>
        <item x="940"/>
        <item x="941"/>
        <item x="942"/>
        <item x="943"/>
        <item x="944"/>
        <item x="945"/>
        <item x="388"/>
        <item x="389"/>
        <item x="946"/>
        <item x="390"/>
        <item x="947"/>
        <item x="391"/>
        <item x="392"/>
        <item x="393"/>
        <item x="948"/>
        <item x="394"/>
        <item t="default"/>
      </items>
    </pivotField>
    <pivotField dataField="1" numFmtId="165" showAll="0"/>
    <pivotField numFmtId="166" showAll="0"/>
    <pivotField showAll="0">
      <items count="14">
        <item x="8"/>
        <item x="6"/>
        <item x="12"/>
        <item x="2"/>
        <item x="0"/>
        <item x="5"/>
        <item x="1"/>
        <item x="7"/>
        <item x="9"/>
        <item x="3"/>
        <item x="10"/>
        <item x="11"/>
        <item x="4"/>
        <item t="default"/>
      </items>
    </pivotField>
    <pivotField showAll="0">
      <items count="142">
        <item x="30"/>
        <item x="17"/>
        <item x="121"/>
        <item x="34"/>
        <item x="45"/>
        <item x="113"/>
        <item x="74"/>
        <item x="136"/>
        <item x="131"/>
        <item x="8"/>
        <item x="4"/>
        <item x="93"/>
        <item x="118"/>
        <item x="130"/>
        <item x="48"/>
        <item x="101"/>
        <item x="124"/>
        <item x="64"/>
        <item x="79"/>
        <item x="68"/>
        <item x="25"/>
        <item x="6"/>
        <item x="116"/>
        <item x="135"/>
        <item x="22"/>
        <item x="77"/>
        <item x="43"/>
        <item x="5"/>
        <item x="137"/>
        <item x="86"/>
        <item x="55"/>
        <item x="1"/>
        <item x="80"/>
        <item x="67"/>
        <item x="58"/>
        <item x="122"/>
        <item x="78"/>
        <item x="127"/>
        <item x="12"/>
        <item x="128"/>
        <item x="96"/>
        <item x="62"/>
        <item x="82"/>
        <item x="126"/>
        <item x="44"/>
        <item x="66"/>
        <item x="40"/>
        <item x="99"/>
        <item x="94"/>
        <item x="53"/>
        <item x="119"/>
        <item x="9"/>
        <item x="20"/>
        <item x="36"/>
        <item x="15"/>
        <item x="85"/>
        <item x="63"/>
        <item x="56"/>
        <item x="92"/>
        <item x="75"/>
        <item x="47"/>
        <item x="39"/>
        <item x="120"/>
        <item x="23"/>
        <item x="60"/>
        <item x="70"/>
        <item x="13"/>
        <item x="3"/>
        <item x="111"/>
        <item x="103"/>
        <item x="84"/>
        <item x="73"/>
        <item x="76"/>
        <item x="14"/>
        <item x="125"/>
        <item x="18"/>
        <item x="28"/>
        <item x="41"/>
        <item x="138"/>
        <item x="46"/>
        <item x="133"/>
        <item x="0"/>
        <item x="57"/>
        <item x="100"/>
        <item x="38"/>
        <item x="24"/>
        <item x="88"/>
        <item x="42"/>
        <item x="107"/>
        <item x="110"/>
        <item x="109"/>
        <item x="71"/>
        <item x="104"/>
        <item x="10"/>
        <item x="105"/>
        <item x="89"/>
        <item x="61"/>
        <item x="90"/>
        <item x="132"/>
        <item x="51"/>
        <item x="11"/>
        <item x="50"/>
        <item x="59"/>
        <item x="95"/>
        <item x="32"/>
        <item x="54"/>
        <item x="139"/>
        <item x="102"/>
        <item x="123"/>
        <item x="134"/>
        <item x="31"/>
        <item x="140"/>
        <item x="81"/>
        <item x="108"/>
        <item x="7"/>
        <item x="16"/>
        <item x="91"/>
        <item x="87"/>
        <item x="106"/>
        <item x="21"/>
        <item x="129"/>
        <item x="26"/>
        <item x="97"/>
        <item x="65"/>
        <item x="19"/>
        <item x="49"/>
        <item x="2"/>
        <item x="52"/>
        <item x="29"/>
        <item x="117"/>
        <item x="37"/>
        <item x="72"/>
        <item x="115"/>
        <item x="114"/>
        <item x="27"/>
        <item x="83"/>
        <item x="33"/>
        <item x="112"/>
        <item x="98"/>
        <item x="35"/>
        <item x="69"/>
        <item t="default"/>
      </items>
    </pivotField>
    <pivotField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Fields count="1">
    <field x="2"/>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Fields count="1">
    <field x="3"/>
  </colFields>
  <colItems count="8">
    <i>
      <x/>
    </i>
    <i>
      <x v="1"/>
    </i>
    <i>
      <x v="2"/>
    </i>
    <i>
      <x v="3"/>
    </i>
    <i>
      <x v="4"/>
    </i>
    <i>
      <x v="5"/>
    </i>
    <i>
      <x v="6"/>
    </i>
    <i t="grand">
      <x/>
    </i>
  </colItems>
  <dataFields count="1">
    <dataField name="Sum of Annual Salary" fld="10" baseField="0" baseItem="0" numFmtId="165"/>
  </dataFields>
  <chartFormats count="8">
    <chartFormat chart="4" format="14" series="1">
      <pivotArea type="data" outline="0" fieldPosition="0">
        <references count="2">
          <reference field="4294967294" count="1" selected="0">
            <x v="0"/>
          </reference>
          <reference field="3" count="1" selected="0">
            <x v="0"/>
          </reference>
        </references>
      </pivotArea>
    </chartFormat>
    <chartFormat chart="4" format="15" series="1">
      <pivotArea type="data" outline="0" fieldPosition="0">
        <references count="2">
          <reference field="4294967294" count="1" selected="0">
            <x v="0"/>
          </reference>
          <reference field="3" count="1" selected="0">
            <x v="1"/>
          </reference>
        </references>
      </pivotArea>
    </chartFormat>
    <chartFormat chart="4" format="16" series="1">
      <pivotArea type="data" outline="0" fieldPosition="0">
        <references count="2">
          <reference field="4294967294" count="1" selected="0">
            <x v="0"/>
          </reference>
          <reference field="3" count="1" selected="0">
            <x v="2"/>
          </reference>
        </references>
      </pivotArea>
    </chartFormat>
    <chartFormat chart="4" format="17" series="1">
      <pivotArea type="data" outline="0" fieldPosition="0">
        <references count="2">
          <reference field="4294967294" count="1" selected="0">
            <x v="0"/>
          </reference>
          <reference field="3" count="1" selected="0">
            <x v="3"/>
          </reference>
        </references>
      </pivotArea>
    </chartFormat>
    <chartFormat chart="4" format="18" series="1">
      <pivotArea type="data" outline="0" fieldPosition="0">
        <references count="2">
          <reference field="4294967294" count="1" selected="0">
            <x v="0"/>
          </reference>
          <reference field="3" count="1" selected="0">
            <x v="4"/>
          </reference>
        </references>
      </pivotArea>
    </chartFormat>
    <chartFormat chart="4" format="19" series="1">
      <pivotArea type="data" outline="0" fieldPosition="0">
        <references count="2">
          <reference field="4294967294" count="1" selected="0">
            <x v="0"/>
          </reference>
          <reference field="3" count="1" selected="0">
            <x v="5"/>
          </reference>
        </references>
      </pivotArea>
    </chartFormat>
    <chartFormat chart="4" format="20" series="1">
      <pivotArea type="data" outline="0" fieldPosition="0">
        <references count="2">
          <reference field="4294967294" count="1" selected="0">
            <x v="0"/>
          </reference>
          <reference field="3" count="1" selected="0">
            <x v="6"/>
          </reference>
        </references>
      </pivotArea>
    </chartFormat>
    <chartFormat chart="4"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573CD5-0C2E-48AE-8A9F-18D65A9FA99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81:B189" firstHeaderRow="1" firstDataRow="1" firstDataCol="1"/>
  <pivotFields count="18">
    <pivotField showAll="0"/>
    <pivotField showAll="0"/>
    <pivotField showAll="0"/>
    <pivotField axis="axisRow" showAll="0">
      <items count="8">
        <item x="6"/>
        <item x="0"/>
        <item x="5"/>
        <item x="3"/>
        <item x="2"/>
        <item x="4"/>
        <item x="1"/>
        <item t="default"/>
      </items>
    </pivotField>
    <pivotField showAll="0"/>
    <pivotField showAll="0"/>
    <pivotField showAll="0"/>
    <pivotField showAll="0"/>
    <pivotField showAll="0"/>
    <pivotField numFmtId="14" showAll="0">
      <items count="950">
        <item x="0"/>
        <item x="1"/>
        <item x="395"/>
        <item x="396"/>
        <item x="2"/>
        <item x="397"/>
        <item x="398"/>
        <item x="399"/>
        <item x="3"/>
        <item x="400"/>
        <item x="401"/>
        <item x="402"/>
        <item x="403"/>
        <item x="404"/>
        <item x="405"/>
        <item x="4"/>
        <item x="5"/>
        <item x="406"/>
        <item x="6"/>
        <item x="407"/>
        <item x="408"/>
        <item x="7"/>
        <item x="409"/>
        <item x="410"/>
        <item x="411"/>
        <item x="412"/>
        <item x="8"/>
        <item x="413"/>
        <item x="414"/>
        <item x="9"/>
        <item x="10"/>
        <item x="415"/>
        <item x="416"/>
        <item x="11"/>
        <item x="12"/>
        <item x="417"/>
        <item x="13"/>
        <item x="418"/>
        <item x="419"/>
        <item x="420"/>
        <item x="14"/>
        <item x="421"/>
        <item x="422"/>
        <item x="15"/>
        <item x="423"/>
        <item x="16"/>
        <item x="424"/>
        <item x="17"/>
        <item x="18"/>
        <item x="19"/>
        <item x="425"/>
        <item x="20"/>
        <item x="21"/>
        <item x="22"/>
        <item x="426"/>
        <item x="427"/>
        <item x="428"/>
        <item x="23"/>
        <item x="429"/>
        <item x="430"/>
        <item x="24"/>
        <item x="431"/>
        <item x="432"/>
        <item x="433"/>
        <item x="434"/>
        <item x="435"/>
        <item x="25"/>
        <item x="436"/>
        <item x="437"/>
        <item x="26"/>
        <item x="438"/>
        <item x="439"/>
        <item x="27"/>
        <item x="440"/>
        <item x="28"/>
        <item x="29"/>
        <item x="441"/>
        <item x="442"/>
        <item x="443"/>
        <item x="30"/>
        <item x="31"/>
        <item x="444"/>
        <item x="445"/>
        <item x="446"/>
        <item x="447"/>
        <item x="32"/>
        <item x="33"/>
        <item x="34"/>
        <item x="448"/>
        <item x="35"/>
        <item x="449"/>
        <item x="450"/>
        <item x="36"/>
        <item x="37"/>
        <item x="38"/>
        <item x="451"/>
        <item x="452"/>
        <item x="39"/>
        <item x="453"/>
        <item x="40"/>
        <item x="41"/>
        <item x="454"/>
        <item x="42"/>
        <item x="43"/>
        <item x="455"/>
        <item x="456"/>
        <item x="44"/>
        <item x="45"/>
        <item x="46"/>
        <item x="457"/>
        <item x="47"/>
        <item x="48"/>
        <item x="458"/>
        <item x="49"/>
        <item x="459"/>
        <item x="50"/>
        <item x="51"/>
        <item x="460"/>
        <item x="461"/>
        <item x="52"/>
        <item x="53"/>
        <item x="462"/>
        <item x="463"/>
        <item x="54"/>
        <item x="464"/>
        <item x="55"/>
        <item x="465"/>
        <item x="56"/>
        <item x="466"/>
        <item x="467"/>
        <item x="468"/>
        <item x="57"/>
        <item x="58"/>
        <item x="469"/>
        <item x="470"/>
        <item x="59"/>
        <item x="471"/>
        <item x="60"/>
        <item x="61"/>
        <item x="62"/>
        <item x="63"/>
        <item x="472"/>
        <item x="64"/>
        <item x="473"/>
        <item x="474"/>
        <item x="475"/>
        <item x="65"/>
        <item x="66"/>
        <item x="67"/>
        <item x="68"/>
        <item x="69"/>
        <item x="476"/>
        <item x="477"/>
        <item x="70"/>
        <item x="478"/>
        <item x="479"/>
        <item x="71"/>
        <item x="72"/>
        <item x="480"/>
        <item x="481"/>
        <item x="482"/>
        <item x="73"/>
        <item x="74"/>
        <item x="75"/>
        <item x="76"/>
        <item x="77"/>
        <item x="78"/>
        <item x="483"/>
        <item x="79"/>
        <item x="484"/>
        <item x="80"/>
        <item x="485"/>
        <item x="486"/>
        <item x="487"/>
        <item x="81"/>
        <item x="82"/>
        <item x="488"/>
        <item x="489"/>
        <item x="490"/>
        <item x="491"/>
        <item x="492"/>
        <item x="493"/>
        <item x="494"/>
        <item x="495"/>
        <item x="496"/>
        <item x="83"/>
        <item x="497"/>
        <item x="84"/>
        <item x="498"/>
        <item x="85"/>
        <item x="499"/>
        <item x="86"/>
        <item x="500"/>
        <item x="87"/>
        <item x="501"/>
        <item x="502"/>
        <item x="503"/>
        <item x="88"/>
        <item x="504"/>
        <item x="505"/>
        <item x="89"/>
        <item x="90"/>
        <item x="506"/>
        <item x="91"/>
        <item x="507"/>
        <item x="508"/>
        <item x="509"/>
        <item x="92"/>
        <item x="510"/>
        <item x="511"/>
        <item x="93"/>
        <item x="512"/>
        <item x="513"/>
        <item x="514"/>
        <item x="94"/>
        <item x="515"/>
        <item x="95"/>
        <item x="516"/>
        <item x="517"/>
        <item x="96"/>
        <item x="518"/>
        <item x="97"/>
        <item x="519"/>
        <item x="98"/>
        <item x="99"/>
        <item x="100"/>
        <item x="520"/>
        <item x="521"/>
        <item x="522"/>
        <item x="101"/>
        <item x="523"/>
        <item x="524"/>
        <item x="525"/>
        <item x="526"/>
        <item x="102"/>
        <item x="527"/>
        <item x="528"/>
        <item x="529"/>
        <item x="103"/>
        <item x="104"/>
        <item x="530"/>
        <item x="105"/>
        <item x="106"/>
        <item x="107"/>
        <item x="108"/>
        <item x="531"/>
        <item x="532"/>
        <item x="109"/>
        <item x="110"/>
        <item x="533"/>
        <item x="534"/>
        <item x="535"/>
        <item x="536"/>
        <item x="537"/>
        <item x="111"/>
        <item x="538"/>
        <item x="112"/>
        <item x="539"/>
        <item x="113"/>
        <item x="114"/>
        <item x="540"/>
        <item x="541"/>
        <item x="542"/>
        <item x="115"/>
        <item x="116"/>
        <item x="543"/>
        <item x="117"/>
        <item x="544"/>
        <item x="118"/>
        <item x="119"/>
        <item x="545"/>
        <item x="120"/>
        <item x="121"/>
        <item x="546"/>
        <item x="547"/>
        <item x="548"/>
        <item x="122"/>
        <item x="549"/>
        <item x="550"/>
        <item x="551"/>
        <item x="123"/>
        <item x="552"/>
        <item x="553"/>
        <item x="554"/>
        <item x="555"/>
        <item x="124"/>
        <item x="556"/>
        <item x="557"/>
        <item x="558"/>
        <item x="559"/>
        <item x="125"/>
        <item x="560"/>
        <item x="561"/>
        <item x="562"/>
        <item x="126"/>
        <item x="563"/>
        <item x="564"/>
        <item x="565"/>
        <item x="127"/>
        <item x="566"/>
        <item x="128"/>
        <item x="567"/>
        <item x="129"/>
        <item x="130"/>
        <item x="568"/>
        <item x="131"/>
        <item x="569"/>
        <item x="570"/>
        <item x="571"/>
        <item x="572"/>
        <item x="132"/>
        <item x="573"/>
        <item x="574"/>
        <item x="575"/>
        <item x="576"/>
        <item x="577"/>
        <item x="578"/>
        <item x="579"/>
        <item x="580"/>
        <item x="581"/>
        <item x="582"/>
        <item x="133"/>
        <item x="134"/>
        <item x="135"/>
        <item x="136"/>
        <item x="137"/>
        <item x="138"/>
        <item x="583"/>
        <item x="584"/>
        <item x="139"/>
        <item x="140"/>
        <item x="141"/>
        <item x="585"/>
        <item x="142"/>
        <item x="586"/>
        <item x="587"/>
        <item x="588"/>
        <item x="589"/>
        <item x="590"/>
        <item x="591"/>
        <item x="143"/>
        <item x="144"/>
        <item x="592"/>
        <item x="145"/>
        <item x="146"/>
        <item x="147"/>
        <item x="593"/>
        <item x="594"/>
        <item x="595"/>
        <item x="148"/>
        <item x="596"/>
        <item x="597"/>
        <item x="149"/>
        <item x="150"/>
        <item x="151"/>
        <item x="598"/>
        <item x="599"/>
        <item x="152"/>
        <item x="600"/>
        <item x="153"/>
        <item x="601"/>
        <item x="602"/>
        <item x="603"/>
        <item x="604"/>
        <item x="605"/>
        <item x="606"/>
        <item x="607"/>
        <item x="154"/>
        <item x="155"/>
        <item x="608"/>
        <item x="156"/>
        <item x="609"/>
        <item x="610"/>
        <item x="157"/>
        <item x="611"/>
        <item x="612"/>
        <item x="158"/>
        <item x="159"/>
        <item x="160"/>
        <item x="613"/>
        <item x="161"/>
        <item x="614"/>
        <item x="615"/>
        <item x="616"/>
        <item x="617"/>
        <item x="162"/>
        <item x="163"/>
        <item x="164"/>
        <item x="618"/>
        <item x="165"/>
        <item x="619"/>
        <item x="620"/>
        <item x="621"/>
        <item x="622"/>
        <item x="166"/>
        <item x="167"/>
        <item x="623"/>
        <item x="624"/>
        <item x="168"/>
        <item x="169"/>
        <item x="625"/>
        <item x="170"/>
        <item x="626"/>
        <item x="627"/>
        <item x="171"/>
        <item x="628"/>
        <item x="172"/>
        <item x="173"/>
        <item x="174"/>
        <item x="175"/>
        <item x="176"/>
        <item x="629"/>
        <item x="177"/>
        <item x="630"/>
        <item x="178"/>
        <item x="631"/>
        <item x="179"/>
        <item x="180"/>
        <item x="632"/>
        <item x="181"/>
        <item x="633"/>
        <item x="182"/>
        <item x="634"/>
        <item x="635"/>
        <item x="183"/>
        <item x="636"/>
        <item x="637"/>
        <item x="638"/>
        <item x="184"/>
        <item x="185"/>
        <item x="639"/>
        <item x="186"/>
        <item x="187"/>
        <item x="188"/>
        <item x="640"/>
        <item x="189"/>
        <item x="641"/>
        <item x="642"/>
        <item x="643"/>
        <item x="644"/>
        <item x="190"/>
        <item x="645"/>
        <item x="646"/>
        <item x="191"/>
        <item x="647"/>
        <item x="192"/>
        <item x="648"/>
        <item x="649"/>
        <item x="650"/>
        <item x="651"/>
        <item x="193"/>
        <item x="652"/>
        <item x="653"/>
        <item x="194"/>
        <item x="654"/>
        <item x="655"/>
        <item x="656"/>
        <item x="195"/>
        <item x="657"/>
        <item x="196"/>
        <item x="658"/>
        <item x="659"/>
        <item x="660"/>
        <item x="661"/>
        <item x="662"/>
        <item x="197"/>
        <item x="198"/>
        <item x="199"/>
        <item x="663"/>
        <item x="200"/>
        <item x="664"/>
        <item x="665"/>
        <item x="666"/>
        <item x="201"/>
        <item x="667"/>
        <item x="668"/>
        <item x="669"/>
        <item x="670"/>
        <item x="202"/>
        <item x="203"/>
        <item x="671"/>
        <item x="204"/>
        <item x="205"/>
        <item x="672"/>
        <item x="206"/>
        <item x="673"/>
        <item x="207"/>
        <item x="208"/>
        <item x="674"/>
        <item x="675"/>
        <item x="209"/>
        <item x="676"/>
        <item x="210"/>
        <item x="677"/>
        <item x="211"/>
        <item x="678"/>
        <item x="679"/>
        <item x="680"/>
        <item x="212"/>
        <item x="681"/>
        <item x="682"/>
        <item x="683"/>
        <item x="684"/>
        <item x="213"/>
        <item x="214"/>
        <item x="215"/>
        <item x="216"/>
        <item x="685"/>
        <item x="686"/>
        <item x="217"/>
        <item x="218"/>
        <item x="687"/>
        <item x="219"/>
        <item x="688"/>
        <item x="689"/>
        <item x="220"/>
        <item x="690"/>
        <item x="691"/>
        <item x="221"/>
        <item x="692"/>
        <item x="693"/>
        <item x="694"/>
        <item x="695"/>
        <item x="222"/>
        <item x="223"/>
        <item x="696"/>
        <item x="224"/>
        <item x="225"/>
        <item x="226"/>
        <item x="697"/>
        <item x="698"/>
        <item x="227"/>
        <item x="699"/>
        <item x="700"/>
        <item x="701"/>
        <item x="702"/>
        <item x="703"/>
        <item x="704"/>
        <item x="705"/>
        <item x="228"/>
        <item x="229"/>
        <item x="706"/>
        <item x="707"/>
        <item x="708"/>
        <item x="230"/>
        <item x="231"/>
        <item x="709"/>
        <item x="710"/>
        <item x="711"/>
        <item x="232"/>
        <item x="233"/>
        <item x="234"/>
        <item x="235"/>
        <item x="236"/>
        <item x="712"/>
        <item x="713"/>
        <item x="714"/>
        <item x="237"/>
        <item x="715"/>
        <item x="716"/>
        <item x="238"/>
        <item x="239"/>
        <item x="240"/>
        <item x="717"/>
        <item x="241"/>
        <item x="242"/>
        <item x="243"/>
        <item x="718"/>
        <item x="719"/>
        <item x="720"/>
        <item x="721"/>
        <item x="722"/>
        <item x="723"/>
        <item x="244"/>
        <item x="724"/>
        <item x="245"/>
        <item x="725"/>
        <item x="246"/>
        <item x="726"/>
        <item x="727"/>
        <item x="728"/>
        <item x="729"/>
        <item x="730"/>
        <item x="247"/>
        <item x="731"/>
        <item x="732"/>
        <item x="248"/>
        <item x="733"/>
        <item x="249"/>
        <item x="250"/>
        <item x="734"/>
        <item x="735"/>
        <item x="251"/>
        <item x="736"/>
        <item x="737"/>
        <item x="738"/>
        <item x="739"/>
        <item x="740"/>
        <item x="252"/>
        <item x="741"/>
        <item x="253"/>
        <item x="742"/>
        <item x="254"/>
        <item x="743"/>
        <item x="744"/>
        <item x="745"/>
        <item x="255"/>
        <item x="746"/>
        <item x="747"/>
        <item x="256"/>
        <item x="748"/>
        <item x="749"/>
        <item x="257"/>
        <item x="258"/>
        <item x="750"/>
        <item x="259"/>
        <item x="751"/>
        <item x="752"/>
        <item x="260"/>
        <item x="261"/>
        <item x="753"/>
        <item x="754"/>
        <item x="262"/>
        <item x="755"/>
        <item x="756"/>
        <item x="757"/>
        <item x="758"/>
        <item x="263"/>
        <item x="759"/>
        <item x="264"/>
        <item x="760"/>
        <item x="265"/>
        <item x="761"/>
        <item x="266"/>
        <item x="267"/>
        <item x="268"/>
        <item x="269"/>
        <item x="762"/>
        <item x="270"/>
        <item x="271"/>
        <item x="763"/>
        <item x="272"/>
        <item x="273"/>
        <item x="764"/>
        <item x="765"/>
        <item x="766"/>
        <item x="767"/>
        <item x="274"/>
        <item x="275"/>
        <item x="768"/>
        <item x="276"/>
        <item x="277"/>
        <item x="769"/>
        <item x="278"/>
        <item x="770"/>
        <item x="279"/>
        <item x="280"/>
        <item x="281"/>
        <item x="282"/>
        <item x="283"/>
        <item x="771"/>
        <item x="772"/>
        <item x="773"/>
        <item x="284"/>
        <item x="774"/>
        <item x="285"/>
        <item x="286"/>
        <item x="287"/>
        <item x="775"/>
        <item x="776"/>
        <item x="288"/>
        <item x="289"/>
        <item x="777"/>
        <item x="778"/>
        <item x="779"/>
        <item x="780"/>
        <item x="290"/>
        <item x="781"/>
        <item x="291"/>
        <item x="292"/>
        <item x="293"/>
        <item x="782"/>
        <item x="294"/>
        <item x="783"/>
        <item x="295"/>
        <item x="784"/>
        <item x="785"/>
        <item x="296"/>
        <item x="786"/>
        <item x="787"/>
        <item x="788"/>
        <item x="789"/>
        <item x="297"/>
        <item x="298"/>
        <item x="299"/>
        <item x="790"/>
        <item x="300"/>
        <item x="301"/>
        <item x="302"/>
        <item x="791"/>
        <item x="792"/>
        <item x="303"/>
        <item x="793"/>
        <item x="794"/>
        <item x="304"/>
        <item x="305"/>
        <item x="795"/>
        <item x="306"/>
        <item x="796"/>
        <item x="797"/>
        <item x="307"/>
        <item x="308"/>
        <item x="798"/>
        <item x="799"/>
        <item x="800"/>
        <item x="309"/>
        <item x="801"/>
        <item x="802"/>
        <item x="803"/>
        <item x="804"/>
        <item x="805"/>
        <item x="806"/>
        <item x="310"/>
        <item x="807"/>
        <item x="808"/>
        <item x="311"/>
        <item x="312"/>
        <item x="809"/>
        <item x="313"/>
        <item x="810"/>
        <item x="314"/>
        <item x="811"/>
        <item x="812"/>
        <item x="813"/>
        <item x="814"/>
        <item x="815"/>
        <item x="816"/>
        <item x="315"/>
        <item x="817"/>
        <item x="818"/>
        <item x="316"/>
        <item x="819"/>
        <item x="820"/>
        <item x="821"/>
        <item x="317"/>
        <item x="822"/>
        <item x="823"/>
        <item x="824"/>
        <item x="825"/>
        <item x="826"/>
        <item x="827"/>
        <item x="828"/>
        <item x="829"/>
        <item x="830"/>
        <item x="318"/>
        <item x="319"/>
        <item x="831"/>
        <item x="832"/>
        <item x="320"/>
        <item x="833"/>
        <item x="834"/>
        <item x="321"/>
        <item x="322"/>
        <item x="323"/>
        <item x="835"/>
        <item x="836"/>
        <item x="324"/>
        <item x="837"/>
        <item x="838"/>
        <item x="839"/>
        <item x="840"/>
        <item x="841"/>
        <item x="325"/>
        <item x="326"/>
        <item x="842"/>
        <item x="843"/>
        <item x="844"/>
        <item x="845"/>
        <item x="846"/>
        <item x="847"/>
        <item x="848"/>
        <item x="327"/>
        <item x="849"/>
        <item x="850"/>
        <item x="328"/>
        <item x="851"/>
        <item x="329"/>
        <item x="852"/>
        <item x="853"/>
        <item x="854"/>
        <item x="855"/>
        <item x="330"/>
        <item x="331"/>
        <item x="856"/>
        <item x="857"/>
        <item x="858"/>
        <item x="859"/>
        <item x="860"/>
        <item x="861"/>
        <item x="332"/>
        <item x="333"/>
        <item x="862"/>
        <item x="334"/>
        <item x="335"/>
        <item x="863"/>
        <item x="336"/>
        <item x="864"/>
        <item x="337"/>
        <item x="338"/>
        <item x="865"/>
        <item x="866"/>
        <item x="867"/>
        <item x="339"/>
        <item x="868"/>
        <item x="869"/>
        <item x="870"/>
        <item x="871"/>
        <item x="340"/>
        <item x="872"/>
        <item x="873"/>
        <item x="874"/>
        <item x="341"/>
        <item x="342"/>
        <item x="875"/>
        <item x="876"/>
        <item x="343"/>
        <item x="877"/>
        <item x="878"/>
        <item x="344"/>
        <item x="345"/>
        <item x="879"/>
        <item x="880"/>
        <item x="346"/>
        <item x="881"/>
        <item x="882"/>
        <item x="347"/>
        <item x="348"/>
        <item x="883"/>
        <item x="884"/>
        <item x="349"/>
        <item x="885"/>
        <item x="886"/>
        <item x="887"/>
        <item x="888"/>
        <item x="889"/>
        <item x="890"/>
        <item x="891"/>
        <item x="892"/>
        <item x="350"/>
        <item x="893"/>
        <item x="351"/>
        <item x="352"/>
        <item x="894"/>
        <item x="895"/>
        <item x="353"/>
        <item x="896"/>
        <item x="897"/>
        <item x="898"/>
        <item x="899"/>
        <item x="354"/>
        <item x="900"/>
        <item x="901"/>
        <item x="902"/>
        <item x="903"/>
        <item x="904"/>
        <item x="905"/>
        <item x="906"/>
        <item x="355"/>
        <item x="356"/>
        <item x="357"/>
        <item x="907"/>
        <item x="358"/>
        <item x="908"/>
        <item x="909"/>
        <item x="910"/>
        <item x="359"/>
        <item x="360"/>
        <item x="911"/>
        <item x="361"/>
        <item x="362"/>
        <item x="912"/>
        <item x="913"/>
        <item x="914"/>
        <item x="915"/>
        <item x="363"/>
        <item x="916"/>
        <item x="917"/>
        <item x="364"/>
        <item x="365"/>
        <item x="366"/>
        <item x="918"/>
        <item x="367"/>
        <item x="919"/>
        <item x="368"/>
        <item x="369"/>
        <item x="920"/>
        <item x="370"/>
        <item x="921"/>
        <item x="922"/>
        <item x="923"/>
        <item x="924"/>
        <item x="925"/>
        <item x="371"/>
        <item x="372"/>
        <item x="926"/>
        <item x="927"/>
        <item x="373"/>
        <item x="928"/>
        <item x="929"/>
        <item x="374"/>
        <item x="375"/>
        <item x="376"/>
        <item x="930"/>
        <item x="377"/>
        <item x="378"/>
        <item x="931"/>
        <item x="379"/>
        <item x="932"/>
        <item x="933"/>
        <item x="934"/>
        <item x="380"/>
        <item x="381"/>
        <item x="382"/>
        <item x="935"/>
        <item x="383"/>
        <item x="936"/>
        <item x="384"/>
        <item x="385"/>
        <item x="386"/>
        <item x="937"/>
        <item x="387"/>
        <item x="938"/>
        <item x="939"/>
        <item x="940"/>
        <item x="941"/>
        <item x="942"/>
        <item x="943"/>
        <item x="944"/>
        <item x="945"/>
        <item x="388"/>
        <item x="389"/>
        <item x="946"/>
        <item x="390"/>
        <item x="947"/>
        <item x="391"/>
        <item x="392"/>
        <item x="393"/>
        <item x="948"/>
        <item x="394"/>
        <item t="default"/>
      </items>
    </pivotField>
    <pivotField numFmtId="165" showAll="0"/>
    <pivotField dataField="1" numFmtId="166" showAll="0">
      <items count="14">
        <item x="11"/>
        <item x="3"/>
        <item x="7"/>
        <item x="5"/>
        <item x="2"/>
        <item x="12"/>
        <item x="8"/>
        <item x="0"/>
        <item x="1"/>
        <item x="4"/>
        <item x="9"/>
        <item x="10"/>
        <item x="6"/>
        <item t="default"/>
      </items>
    </pivotField>
    <pivotField showAll="0">
      <items count="14">
        <item x="8"/>
        <item x="6"/>
        <item x="12"/>
        <item x="2"/>
        <item x="0"/>
        <item x="5"/>
        <item x="1"/>
        <item x="7"/>
        <item x="9"/>
        <item x="3"/>
        <item x="10"/>
        <item x="11"/>
        <item x="4"/>
        <item t="default"/>
      </items>
    </pivotField>
    <pivotField showAll="0"/>
    <pivotField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Fields count="1">
    <field x="3"/>
  </rowFields>
  <rowItems count="8">
    <i>
      <x/>
    </i>
    <i>
      <x v="1"/>
    </i>
    <i>
      <x v="2"/>
    </i>
    <i>
      <x v="3"/>
    </i>
    <i>
      <x v="4"/>
    </i>
    <i>
      <x v="5"/>
    </i>
    <i>
      <x v="6"/>
    </i>
    <i t="grand">
      <x/>
    </i>
  </rowItems>
  <colItems count="1">
    <i/>
  </colItems>
  <dataFields count="1">
    <dataField name="Average of Bonus %" fld="11" subtotal="average" baseField="3" baseItem="0" numFmtId="166"/>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09188B-58F2-46C8-9C19-1D03E2A5B99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0:F27" firstHeaderRow="1" firstDataRow="2" firstDataCol="1"/>
  <pivotFields count="18">
    <pivotField dataField="1" showAll="0"/>
    <pivotField showAll="0"/>
    <pivotField showAll="0"/>
    <pivotField showAll="0"/>
    <pivotField axis="axisCol" showAll="0">
      <items count="5">
        <item x="1"/>
        <item x="2"/>
        <item x="0"/>
        <item x="3"/>
        <item t="default"/>
      </items>
    </pivotField>
    <pivotField showAll="0"/>
    <pivotField showAll="0"/>
    <pivotField showAll="0"/>
    <pivotField showAll="0"/>
    <pivotField numFmtId="14" showAll="0">
      <items count="950">
        <item x="0"/>
        <item x="1"/>
        <item x="395"/>
        <item x="396"/>
        <item x="2"/>
        <item x="397"/>
        <item x="398"/>
        <item x="399"/>
        <item x="3"/>
        <item x="400"/>
        <item x="401"/>
        <item x="402"/>
        <item x="403"/>
        <item x="404"/>
        <item x="405"/>
        <item x="4"/>
        <item x="5"/>
        <item x="406"/>
        <item x="6"/>
        <item x="407"/>
        <item x="408"/>
        <item x="7"/>
        <item x="409"/>
        <item x="410"/>
        <item x="411"/>
        <item x="412"/>
        <item x="8"/>
        <item x="413"/>
        <item x="414"/>
        <item x="9"/>
        <item x="10"/>
        <item x="415"/>
        <item x="416"/>
        <item x="11"/>
        <item x="12"/>
        <item x="417"/>
        <item x="13"/>
        <item x="418"/>
        <item x="419"/>
        <item x="420"/>
        <item x="14"/>
        <item x="421"/>
        <item x="422"/>
        <item x="15"/>
        <item x="423"/>
        <item x="16"/>
        <item x="424"/>
        <item x="17"/>
        <item x="18"/>
        <item x="19"/>
        <item x="425"/>
        <item x="20"/>
        <item x="21"/>
        <item x="22"/>
        <item x="426"/>
        <item x="427"/>
        <item x="428"/>
        <item x="23"/>
        <item x="429"/>
        <item x="430"/>
        <item x="24"/>
        <item x="431"/>
        <item x="432"/>
        <item x="433"/>
        <item x="434"/>
        <item x="435"/>
        <item x="25"/>
        <item x="436"/>
        <item x="437"/>
        <item x="26"/>
        <item x="438"/>
        <item x="439"/>
        <item x="27"/>
        <item x="440"/>
        <item x="28"/>
        <item x="29"/>
        <item x="441"/>
        <item x="442"/>
        <item x="443"/>
        <item x="30"/>
        <item x="31"/>
        <item x="444"/>
        <item x="445"/>
        <item x="446"/>
        <item x="447"/>
        <item x="32"/>
        <item x="33"/>
        <item x="34"/>
        <item x="448"/>
        <item x="35"/>
        <item x="449"/>
        <item x="450"/>
        <item x="36"/>
        <item x="37"/>
        <item x="38"/>
        <item x="451"/>
        <item x="452"/>
        <item x="39"/>
        <item x="453"/>
        <item x="40"/>
        <item x="41"/>
        <item x="454"/>
        <item x="42"/>
        <item x="43"/>
        <item x="455"/>
        <item x="456"/>
        <item x="44"/>
        <item x="45"/>
        <item x="46"/>
        <item x="457"/>
        <item x="47"/>
        <item x="48"/>
        <item x="458"/>
        <item x="49"/>
        <item x="459"/>
        <item x="50"/>
        <item x="51"/>
        <item x="460"/>
        <item x="461"/>
        <item x="52"/>
        <item x="53"/>
        <item x="462"/>
        <item x="463"/>
        <item x="54"/>
        <item x="464"/>
        <item x="55"/>
        <item x="465"/>
        <item x="56"/>
        <item x="466"/>
        <item x="467"/>
        <item x="468"/>
        <item x="57"/>
        <item x="58"/>
        <item x="469"/>
        <item x="470"/>
        <item x="59"/>
        <item x="471"/>
        <item x="60"/>
        <item x="61"/>
        <item x="62"/>
        <item x="63"/>
        <item x="472"/>
        <item x="64"/>
        <item x="473"/>
        <item x="474"/>
        <item x="475"/>
        <item x="65"/>
        <item x="66"/>
        <item x="67"/>
        <item x="68"/>
        <item x="69"/>
        <item x="476"/>
        <item x="477"/>
        <item x="70"/>
        <item x="478"/>
        <item x="479"/>
        <item x="71"/>
        <item x="72"/>
        <item x="480"/>
        <item x="481"/>
        <item x="482"/>
        <item x="73"/>
        <item x="74"/>
        <item x="75"/>
        <item x="76"/>
        <item x="77"/>
        <item x="78"/>
        <item x="483"/>
        <item x="79"/>
        <item x="484"/>
        <item x="80"/>
        <item x="485"/>
        <item x="486"/>
        <item x="487"/>
        <item x="81"/>
        <item x="82"/>
        <item x="488"/>
        <item x="489"/>
        <item x="490"/>
        <item x="491"/>
        <item x="492"/>
        <item x="493"/>
        <item x="494"/>
        <item x="495"/>
        <item x="496"/>
        <item x="83"/>
        <item x="497"/>
        <item x="84"/>
        <item x="498"/>
        <item x="85"/>
        <item x="499"/>
        <item x="86"/>
        <item x="500"/>
        <item x="87"/>
        <item x="501"/>
        <item x="502"/>
        <item x="503"/>
        <item x="88"/>
        <item x="504"/>
        <item x="505"/>
        <item x="89"/>
        <item x="90"/>
        <item x="506"/>
        <item x="91"/>
        <item x="507"/>
        <item x="508"/>
        <item x="509"/>
        <item x="92"/>
        <item x="510"/>
        <item x="511"/>
        <item x="93"/>
        <item x="512"/>
        <item x="513"/>
        <item x="514"/>
        <item x="94"/>
        <item x="515"/>
        <item x="95"/>
        <item x="516"/>
        <item x="517"/>
        <item x="96"/>
        <item x="518"/>
        <item x="97"/>
        <item x="519"/>
        <item x="98"/>
        <item x="99"/>
        <item x="100"/>
        <item x="520"/>
        <item x="521"/>
        <item x="522"/>
        <item x="101"/>
        <item x="523"/>
        <item x="524"/>
        <item x="525"/>
        <item x="526"/>
        <item x="102"/>
        <item x="527"/>
        <item x="528"/>
        <item x="529"/>
        <item x="103"/>
        <item x="104"/>
        <item x="530"/>
        <item x="105"/>
        <item x="106"/>
        <item x="107"/>
        <item x="108"/>
        <item x="531"/>
        <item x="532"/>
        <item x="109"/>
        <item x="110"/>
        <item x="533"/>
        <item x="534"/>
        <item x="535"/>
        <item x="536"/>
        <item x="537"/>
        <item x="111"/>
        <item x="538"/>
        <item x="112"/>
        <item x="539"/>
        <item x="113"/>
        <item x="114"/>
        <item x="540"/>
        <item x="541"/>
        <item x="542"/>
        <item x="115"/>
        <item x="116"/>
        <item x="543"/>
        <item x="117"/>
        <item x="544"/>
        <item x="118"/>
        <item x="119"/>
        <item x="545"/>
        <item x="120"/>
        <item x="121"/>
        <item x="546"/>
        <item x="547"/>
        <item x="548"/>
        <item x="122"/>
        <item x="549"/>
        <item x="550"/>
        <item x="551"/>
        <item x="123"/>
        <item x="552"/>
        <item x="553"/>
        <item x="554"/>
        <item x="555"/>
        <item x="124"/>
        <item x="556"/>
        <item x="557"/>
        <item x="558"/>
        <item x="559"/>
        <item x="125"/>
        <item x="560"/>
        <item x="561"/>
        <item x="562"/>
        <item x="126"/>
        <item x="563"/>
        <item x="564"/>
        <item x="565"/>
        <item x="127"/>
        <item x="566"/>
        <item x="128"/>
        <item x="567"/>
        <item x="129"/>
        <item x="130"/>
        <item x="568"/>
        <item x="131"/>
        <item x="569"/>
        <item x="570"/>
        <item x="571"/>
        <item x="572"/>
        <item x="132"/>
        <item x="573"/>
        <item x="574"/>
        <item x="575"/>
        <item x="576"/>
        <item x="577"/>
        <item x="578"/>
        <item x="579"/>
        <item x="580"/>
        <item x="581"/>
        <item x="582"/>
        <item x="133"/>
        <item x="134"/>
        <item x="135"/>
        <item x="136"/>
        <item x="137"/>
        <item x="138"/>
        <item x="583"/>
        <item x="584"/>
        <item x="139"/>
        <item x="140"/>
        <item x="141"/>
        <item x="585"/>
        <item x="142"/>
        <item x="586"/>
        <item x="587"/>
        <item x="588"/>
        <item x="589"/>
        <item x="590"/>
        <item x="591"/>
        <item x="143"/>
        <item x="144"/>
        <item x="592"/>
        <item x="145"/>
        <item x="146"/>
        <item x="147"/>
        <item x="593"/>
        <item x="594"/>
        <item x="595"/>
        <item x="148"/>
        <item x="596"/>
        <item x="597"/>
        <item x="149"/>
        <item x="150"/>
        <item x="151"/>
        <item x="598"/>
        <item x="599"/>
        <item x="152"/>
        <item x="600"/>
        <item x="153"/>
        <item x="601"/>
        <item x="602"/>
        <item x="603"/>
        <item x="604"/>
        <item x="605"/>
        <item x="606"/>
        <item x="607"/>
        <item x="154"/>
        <item x="155"/>
        <item x="608"/>
        <item x="156"/>
        <item x="609"/>
        <item x="610"/>
        <item x="157"/>
        <item x="611"/>
        <item x="612"/>
        <item x="158"/>
        <item x="159"/>
        <item x="160"/>
        <item x="613"/>
        <item x="161"/>
        <item x="614"/>
        <item x="615"/>
        <item x="616"/>
        <item x="617"/>
        <item x="162"/>
        <item x="163"/>
        <item x="164"/>
        <item x="618"/>
        <item x="165"/>
        <item x="619"/>
        <item x="620"/>
        <item x="621"/>
        <item x="622"/>
        <item x="166"/>
        <item x="167"/>
        <item x="623"/>
        <item x="624"/>
        <item x="168"/>
        <item x="169"/>
        <item x="625"/>
        <item x="170"/>
        <item x="626"/>
        <item x="627"/>
        <item x="171"/>
        <item x="628"/>
        <item x="172"/>
        <item x="173"/>
        <item x="174"/>
        <item x="175"/>
        <item x="176"/>
        <item x="629"/>
        <item x="177"/>
        <item x="630"/>
        <item x="178"/>
        <item x="631"/>
        <item x="179"/>
        <item x="180"/>
        <item x="632"/>
        <item x="181"/>
        <item x="633"/>
        <item x="182"/>
        <item x="634"/>
        <item x="635"/>
        <item x="183"/>
        <item x="636"/>
        <item x="637"/>
        <item x="638"/>
        <item x="184"/>
        <item x="185"/>
        <item x="639"/>
        <item x="186"/>
        <item x="187"/>
        <item x="188"/>
        <item x="640"/>
        <item x="189"/>
        <item x="641"/>
        <item x="642"/>
        <item x="643"/>
        <item x="644"/>
        <item x="190"/>
        <item x="645"/>
        <item x="646"/>
        <item x="191"/>
        <item x="647"/>
        <item x="192"/>
        <item x="648"/>
        <item x="649"/>
        <item x="650"/>
        <item x="651"/>
        <item x="193"/>
        <item x="652"/>
        <item x="653"/>
        <item x="194"/>
        <item x="654"/>
        <item x="655"/>
        <item x="656"/>
        <item x="195"/>
        <item x="657"/>
        <item x="196"/>
        <item x="658"/>
        <item x="659"/>
        <item x="660"/>
        <item x="661"/>
        <item x="662"/>
        <item x="197"/>
        <item x="198"/>
        <item x="199"/>
        <item x="663"/>
        <item x="200"/>
        <item x="664"/>
        <item x="665"/>
        <item x="666"/>
        <item x="201"/>
        <item x="667"/>
        <item x="668"/>
        <item x="669"/>
        <item x="670"/>
        <item x="202"/>
        <item x="203"/>
        <item x="671"/>
        <item x="204"/>
        <item x="205"/>
        <item x="672"/>
        <item x="206"/>
        <item x="673"/>
        <item x="207"/>
        <item x="208"/>
        <item x="674"/>
        <item x="675"/>
        <item x="209"/>
        <item x="676"/>
        <item x="210"/>
        <item x="677"/>
        <item x="211"/>
        <item x="678"/>
        <item x="679"/>
        <item x="680"/>
        <item x="212"/>
        <item x="681"/>
        <item x="682"/>
        <item x="683"/>
        <item x="684"/>
        <item x="213"/>
        <item x="214"/>
        <item x="215"/>
        <item x="216"/>
        <item x="685"/>
        <item x="686"/>
        <item x="217"/>
        <item x="218"/>
        <item x="687"/>
        <item x="219"/>
        <item x="688"/>
        <item x="689"/>
        <item x="220"/>
        <item x="690"/>
        <item x="691"/>
        <item x="221"/>
        <item x="692"/>
        <item x="693"/>
        <item x="694"/>
        <item x="695"/>
        <item x="222"/>
        <item x="223"/>
        <item x="696"/>
        <item x="224"/>
        <item x="225"/>
        <item x="226"/>
        <item x="697"/>
        <item x="698"/>
        <item x="227"/>
        <item x="699"/>
        <item x="700"/>
        <item x="701"/>
        <item x="702"/>
        <item x="703"/>
        <item x="704"/>
        <item x="705"/>
        <item x="228"/>
        <item x="229"/>
        <item x="706"/>
        <item x="707"/>
        <item x="708"/>
        <item x="230"/>
        <item x="231"/>
        <item x="709"/>
        <item x="710"/>
        <item x="711"/>
        <item x="232"/>
        <item x="233"/>
        <item x="234"/>
        <item x="235"/>
        <item x="236"/>
        <item x="712"/>
        <item x="713"/>
        <item x="714"/>
        <item x="237"/>
        <item x="715"/>
        <item x="716"/>
        <item x="238"/>
        <item x="239"/>
        <item x="240"/>
        <item x="717"/>
        <item x="241"/>
        <item x="242"/>
        <item x="243"/>
        <item x="718"/>
        <item x="719"/>
        <item x="720"/>
        <item x="721"/>
        <item x="722"/>
        <item x="723"/>
        <item x="244"/>
        <item x="724"/>
        <item x="245"/>
        <item x="725"/>
        <item x="246"/>
        <item x="726"/>
        <item x="727"/>
        <item x="728"/>
        <item x="729"/>
        <item x="730"/>
        <item x="247"/>
        <item x="731"/>
        <item x="732"/>
        <item x="248"/>
        <item x="733"/>
        <item x="249"/>
        <item x="250"/>
        <item x="734"/>
        <item x="735"/>
        <item x="251"/>
        <item x="736"/>
        <item x="737"/>
        <item x="738"/>
        <item x="739"/>
        <item x="740"/>
        <item x="252"/>
        <item x="741"/>
        <item x="253"/>
        <item x="742"/>
        <item x="254"/>
        <item x="743"/>
        <item x="744"/>
        <item x="745"/>
        <item x="255"/>
        <item x="746"/>
        <item x="747"/>
        <item x="256"/>
        <item x="748"/>
        <item x="749"/>
        <item x="257"/>
        <item x="258"/>
        <item x="750"/>
        <item x="259"/>
        <item x="751"/>
        <item x="752"/>
        <item x="260"/>
        <item x="261"/>
        <item x="753"/>
        <item x="754"/>
        <item x="262"/>
        <item x="755"/>
        <item x="756"/>
        <item x="757"/>
        <item x="758"/>
        <item x="263"/>
        <item x="759"/>
        <item x="264"/>
        <item x="760"/>
        <item x="265"/>
        <item x="761"/>
        <item x="266"/>
        <item x="267"/>
        <item x="268"/>
        <item x="269"/>
        <item x="762"/>
        <item x="270"/>
        <item x="271"/>
        <item x="763"/>
        <item x="272"/>
        <item x="273"/>
        <item x="764"/>
        <item x="765"/>
        <item x="766"/>
        <item x="767"/>
        <item x="274"/>
        <item x="275"/>
        <item x="768"/>
        <item x="276"/>
        <item x="277"/>
        <item x="769"/>
        <item x="278"/>
        <item x="770"/>
        <item x="279"/>
        <item x="280"/>
        <item x="281"/>
        <item x="282"/>
        <item x="283"/>
        <item x="771"/>
        <item x="772"/>
        <item x="773"/>
        <item x="284"/>
        <item x="774"/>
        <item x="285"/>
        <item x="286"/>
        <item x="287"/>
        <item x="775"/>
        <item x="776"/>
        <item x="288"/>
        <item x="289"/>
        <item x="777"/>
        <item x="778"/>
        <item x="779"/>
        <item x="780"/>
        <item x="290"/>
        <item x="781"/>
        <item x="291"/>
        <item x="292"/>
        <item x="293"/>
        <item x="782"/>
        <item x="294"/>
        <item x="783"/>
        <item x="295"/>
        <item x="784"/>
        <item x="785"/>
        <item x="296"/>
        <item x="786"/>
        <item x="787"/>
        <item x="788"/>
        <item x="789"/>
        <item x="297"/>
        <item x="298"/>
        <item x="299"/>
        <item x="790"/>
        <item x="300"/>
        <item x="301"/>
        <item x="302"/>
        <item x="791"/>
        <item x="792"/>
        <item x="303"/>
        <item x="793"/>
        <item x="794"/>
        <item x="304"/>
        <item x="305"/>
        <item x="795"/>
        <item x="306"/>
        <item x="796"/>
        <item x="797"/>
        <item x="307"/>
        <item x="308"/>
        <item x="798"/>
        <item x="799"/>
        <item x="800"/>
        <item x="309"/>
        <item x="801"/>
        <item x="802"/>
        <item x="803"/>
        <item x="804"/>
        <item x="805"/>
        <item x="806"/>
        <item x="310"/>
        <item x="807"/>
        <item x="808"/>
        <item x="311"/>
        <item x="312"/>
        <item x="809"/>
        <item x="313"/>
        <item x="810"/>
        <item x="314"/>
        <item x="811"/>
        <item x="812"/>
        <item x="813"/>
        <item x="814"/>
        <item x="815"/>
        <item x="816"/>
        <item x="315"/>
        <item x="817"/>
        <item x="818"/>
        <item x="316"/>
        <item x="819"/>
        <item x="820"/>
        <item x="821"/>
        <item x="317"/>
        <item x="822"/>
        <item x="823"/>
        <item x="824"/>
        <item x="825"/>
        <item x="826"/>
        <item x="827"/>
        <item x="828"/>
        <item x="829"/>
        <item x="830"/>
        <item x="318"/>
        <item x="319"/>
        <item x="831"/>
        <item x="832"/>
        <item x="320"/>
        <item x="833"/>
        <item x="834"/>
        <item x="321"/>
        <item x="322"/>
        <item x="323"/>
        <item x="835"/>
        <item x="836"/>
        <item x="324"/>
        <item x="837"/>
        <item x="838"/>
        <item x="839"/>
        <item x="840"/>
        <item x="841"/>
        <item x="325"/>
        <item x="326"/>
        <item x="842"/>
        <item x="843"/>
        <item x="844"/>
        <item x="845"/>
        <item x="846"/>
        <item x="847"/>
        <item x="848"/>
        <item x="327"/>
        <item x="849"/>
        <item x="850"/>
        <item x="328"/>
        <item x="851"/>
        <item x="329"/>
        <item x="852"/>
        <item x="853"/>
        <item x="854"/>
        <item x="855"/>
        <item x="330"/>
        <item x="331"/>
        <item x="856"/>
        <item x="857"/>
        <item x="858"/>
        <item x="859"/>
        <item x="860"/>
        <item x="861"/>
        <item x="332"/>
        <item x="333"/>
        <item x="862"/>
        <item x="334"/>
        <item x="335"/>
        <item x="863"/>
        <item x="336"/>
        <item x="864"/>
        <item x="337"/>
        <item x="338"/>
        <item x="865"/>
        <item x="866"/>
        <item x="867"/>
        <item x="339"/>
        <item x="868"/>
        <item x="869"/>
        <item x="870"/>
        <item x="871"/>
        <item x="340"/>
        <item x="872"/>
        <item x="873"/>
        <item x="874"/>
        <item x="341"/>
        <item x="342"/>
        <item x="875"/>
        <item x="876"/>
        <item x="343"/>
        <item x="877"/>
        <item x="878"/>
        <item x="344"/>
        <item x="345"/>
        <item x="879"/>
        <item x="880"/>
        <item x="346"/>
        <item x="881"/>
        <item x="882"/>
        <item x="347"/>
        <item x="348"/>
        <item x="883"/>
        <item x="884"/>
        <item x="349"/>
        <item x="885"/>
        <item x="886"/>
        <item x="887"/>
        <item x="888"/>
        <item x="889"/>
        <item x="890"/>
        <item x="891"/>
        <item x="892"/>
        <item x="350"/>
        <item x="893"/>
        <item x="351"/>
        <item x="352"/>
        <item x="894"/>
        <item x="895"/>
        <item x="353"/>
        <item x="896"/>
        <item x="897"/>
        <item x="898"/>
        <item x="899"/>
        <item x="354"/>
        <item x="900"/>
        <item x="901"/>
        <item x="902"/>
        <item x="903"/>
        <item x="904"/>
        <item x="905"/>
        <item x="906"/>
        <item x="355"/>
        <item x="356"/>
        <item x="357"/>
        <item x="907"/>
        <item x="358"/>
        <item x="908"/>
        <item x="909"/>
        <item x="910"/>
        <item x="359"/>
        <item x="360"/>
        <item x="911"/>
        <item x="361"/>
        <item x="362"/>
        <item x="912"/>
        <item x="913"/>
        <item x="914"/>
        <item x="915"/>
        <item x="363"/>
        <item x="916"/>
        <item x="917"/>
        <item x="364"/>
        <item x="365"/>
        <item x="366"/>
        <item x="918"/>
        <item x="367"/>
        <item x="919"/>
        <item x="368"/>
        <item x="369"/>
        <item x="920"/>
        <item x="370"/>
        <item x="921"/>
        <item x="922"/>
        <item x="923"/>
        <item x="924"/>
        <item x="925"/>
        <item x="371"/>
        <item x="372"/>
        <item x="926"/>
        <item x="927"/>
        <item x="373"/>
        <item x="928"/>
        <item x="929"/>
        <item x="374"/>
        <item x="375"/>
        <item x="376"/>
        <item x="930"/>
        <item x="377"/>
        <item x="378"/>
        <item x="931"/>
        <item x="379"/>
        <item x="932"/>
        <item x="933"/>
        <item x="934"/>
        <item x="380"/>
        <item x="381"/>
        <item x="382"/>
        <item x="935"/>
        <item x="383"/>
        <item x="936"/>
        <item x="384"/>
        <item x="385"/>
        <item x="386"/>
        <item x="937"/>
        <item x="387"/>
        <item x="938"/>
        <item x="939"/>
        <item x="940"/>
        <item x="941"/>
        <item x="942"/>
        <item x="943"/>
        <item x="944"/>
        <item x="945"/>
        <item x="388"/>
        <item x="389"/>
        <item x="946"/>
        <item x="390"/>
        <item x="947"/>
        <item x="391"/>
        <item x="392"/>
        <item x="393"/>
        <item x="948"/>
        <item x="394"/>
        <item t="default"/>
      </items>
    </pivotField>
    <pivotField numFmtId="165" showAll="0"/>
    <pivotField numFmtId="166" showAll="0"/>
    <pivotField showAll="0">
      <items count="14">
        <item x="8"/>
        <item x="6"/>
        <item x="12"/>
        <item x="2"/>
        <item x="0"/>
        <item x="5"/>
        <item x="1"/>
        <item x="7"/>
        <item x="9"/>
        <item x="3"/>
        <item x="10"/>
        <item x="11"/>
        <item x="4"/>
        <item t="default"/>
      </items>
    </pivotField>
    <pivotField showAll="0">
      <items count="142">
        <item x="30"/>
        <item x="17"/>
        <item x="121"/>
        <item x="34"/>
        <item x="45"/>
        <item x="113"/>
        <item x="74"/>
        <item x="136"/>
        <item x="131"/>
        <item x="8"/>
        <item x="4"/>
        <item x="93"/>
        <item x="118"/>
        <item x="130"/>
        <item x="48"/>
        <item x="101"/>
        <item x="124"/>
        <item x="64"/>
        <item x="79"/>
        <item x="68"/>
        <item x="25"/>
        <item x="6"/>
        <item x="116"/>
        <item x="135"/>
        <item x="22"/>
        <item x="77"/>
        <item x="43"/>
        <item x="5"/>
        <item x="137"/>
        <item x="86"/>
        <item x="55"/>
        <item x="1"/>
        <item x="80"/>
        <item x="67"/>
        <item x="58"/>
        <item x="122"/>
        <item x="78"/>
        <item x="127"/>
        <item x="12"/>
        <item x="128"/>
        <item x="96"/>
        <item x="62"/>
        <item x="82"/>
        <item x="126"/>
        <item x="44"/>
        <item x="66"/>
        <item x="40"/>
        <item x="99"/>
        <item x="94"/>
        <item x="53"/>
        <item x="119"/>
        <item x="9"/>
        <item x="20"/>
        <item x="36"/>
        <item x="15"/>
        <item x="85"/>
        <item x="63"/>
        <item x="56"/>
        <item x="92"/>
        <item x="75"/>
        <item x="47"/>
        <item x="39"/>
        <item x="120"/>
        <item x="23"/>
        <item x="60"/>
        <item x="70"/>
        <item x="13"/>
        <item x="3"/>
        <item x="111"/>
        <item x="103"/>
        <item x="84"/>
        <item x="73"/>
        <item x="76"/>
        <item x="14"/>
        <item x="125"/>
        <item x="18"/>
        <item x="28"/>
        <item x="41"/>
        <item x="138"/>
        <item x="46"/>
        <item x="133"/>
        <item x="0"/>
        <item x="57"/>
        <item x="100"/>
        <item x="38"/>
        <item x="24"/>
        <item x="88"/>
        <item x="42"/>
        <item x="107"/>
        <item x="110"/>
        <item x="109"/>
        <item x="71"/>
        <item x="104"/>
        <item x="10"/>
        <item x="105"/>
        <item x="89"/>
        <item x="61"/>
        <item x="90"/>
        <item x="132"/>
        <item x="51"/>
        <item x="11"/>
        <item x="50"/>
        <item x="59"/>
        <item x="95"/>
        <item x="32"/>
        <item x="54"/>
        <item x="139"/>
        <item x="102"/>
        <item x="123"/>
        <item x="134"/>
        <item x="31"/>
        <item x="140"/>
        <item x="81"/>
        <item x="108"/>
        <item x="7"/>
        <item x="16"/>
        <item x="91"/>
        <item x="87"/>
        <item x="106"/>
        <item x="21"/>
        <item x="129"/>
        <item x="26"/>
        <item x="97"/>
        <item x="65"/>
        <item x="19"/>
        <item x="49"/>
        <item x="2"/>
        <item x="52"/>
        <item x="29"/>
        <item x="117"/>
        <item x="37"/>
        <item x="72"/>
        <item x="115"/>
        <item x="114"/>
        <item x="27"/>
        <item x="83"/>
        <item x="33"/>
        <item x="112"/>
        <item x="98"/>
        <item x="35"/>
        <item x="69"/>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3">
        <item h="1" sd="0" x="0"/>
        <item h="1" sd="0" x="1"/>
        <item h="1" sd="0" x="2"/>
        <item h="1" sd="0" x="3"/>
        <item h="1" sd="0" x="4"/>
        <item h="1"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sd="0" x="25"/>
        <item sd="0" x="26"/>
        <item sd="0" x="27"/>
        <item sd="0" x="28"/>
        <item sd="0" x="29"/>
        <item sd="0" x="30"/>
        <item h="1" sd="0" x="31"/>
        <item t="default"/>
      </items>
    </pivotField>
  </pivotFields>
  <rowFields count="1">
    <field x="17"/>
  </rowFields>
  <rowItems count="6">
    <i>
      <x v="26"/>
    </i>
    <i>
      <x v="27"/>
    </i>
    <i>
      <x v="28"/>
    </i>
    <i>
      <x v="29"/>
    </i>
    <i>
      <x v="30"/>
    </i>
    <i t="grand">
      <x/>
    </i>
  </rowItems>
  <colFields count="1">
    <field x="4"/>
  </colFields>
  <colItems count="5">
    <i>
      <x/>
    </i>
    <i>
      <x v="1"/>
    </i>
    <i>
      <x v="2"/>
    </i>
    <i>
      <x v="3"/>
    </i>
    <i t="grand">
      <x/>
    </i>
  </colItems>
  <dataFields count="1">
    <dataField name="Count of EEID" fld="0" subtotal="count" baseField="0" baseItem="0"/>
  </dataFields>
  <chartFormats count="13">
    <chartFormat chart="4" format="68" series="1">
      <pivotArea type="data" outline="0" fieldPosition="0">
        <references count="2">
          <reference field="4294967294" count="1" selected="0">
            <x v="0"/>
          </reference>
          <reference field="4" count="1" selected="0">
            <x v="0"/>
          </reference>
        </references>
      </pivotArea>
    </chartFormat>
    <chartFormat chart="4" format="69" series="1">
      <pivotArea type="data" outline="0" fieldPosition="0">
        <references count="2">
          <reference field="4294967294" count="1" selected="0">
            <x v="0"/>
          </reference>
          <reference field="4" count="1" selected="0">
            <x v="1"/>
          </reference>
        </references>
      </pivotArea>
    </chartFormat>
    <chartFormat chart="4" format="70" series="1">
      <pivotArea type="data" outline="0" fieldPosition="0">
        <references count="2">
          <reference field="4294967294" count="1" selected="0">
            <x v="0"/>
          </reference>
          <reference field="4" count="1" selected="0">
            <x v="2"/>
          </reference>
        </references>
      </pivotArea>
    </chartFormat>
    <chartFormat chart="4" format="71" series="1">
      <pivotArea type="data" outline="0" fieldPosition="0">
        <references count="2">
          <reference field="4294967294" count="1" selected="0">
            <x v="0"/>
          </reference>
          <reference field="4" count="1" selected="0">
            <x v="3"/>
          </reference>
        </references>
      </pivotArea>
    </chartFormat>
    <chartFormat chart="5" format="72" series="1">
      <pivotArea type="data" outline="0" fieldPosition="0">
        <references count="2">
          <reference field="4294967294" count="1" selected="0">
            <x v="0"/>
          </reference>
          <reference field="4" count="1" selected="0">
            <x v="0"/>
          </reference>
        </references>
      </pivotArea>
    </chartFormat>
    <chartFormat chart="5" format="73" series="1">
      <pivotArea type="data" outline="0" fieldPosition="0">
        <references count="2">
          <reference field="4294967294" count="1" selected="0">
            <x v="0"/>
          </reference>
          <reference field="4" count="1" selected="0">
            <x v="1"/>
          </reference>
        </references>
      </pivotArea>
    </chartFormat>
    <chartFormat chart="5" format="74" series="1">
      <pivotArea type="data" outline="0" fieldPosition="0">
        <references count="2">
          <reference field="4294967294" count="1" selected="0">
            <x v="0"/>
          </reference>
          <reference field="4" count="1" selected="0">
            <x v="2"/>
          </reference>
        </references>
      </pivotArea>
    </chartFormat>
    <chartFormat chart="5" format="75" series="1">
      <pivotArea type="data" outline="0" fieldPosition="0">
        <references count="2">
          <reference field="4294967294" count="1" selected="0">
            <x v="0"/>
          </reference>
          <reference field="4" count="1" selected="0">
            <x v="3"/>
          </reference>
        </references>
      </pivotArea>
    </chartFormat>
    <chartFormat chart="6" format="72" series="1">
      <pivotArea type="data" outline="0" fieldPosition="0">
        <references count="2">
          <reference field="4294967294" count="1" selected="0">
            <x v="0"/>
          </reference>
          <reference field="4" count="1" selected="0">
            <x v="0"/>
          </reference>
        </references>
      </pivotArea>
    </chartFormat>
    <chartFormat chart="6" format="73" series="1">
      <pivotArea type="data" outline="0" fieldPosition="0">
        <references count="2">
          <reference field="4294967294" count="1" selected="0">
            <x v="0"/>
          </reference>
          <reference field="4" count="1" selected="0">
            <x v="1"/>
          </reference>
        </references>
      </pivotArea>
    </chartFormat>
    <chartFormat chart="6" format="74" series="1">
      <pivotArea type="data" outline="0" fieldPosition="0">
        <references count="2">
          <reference field="4294967294" count="1" selected="0">
            <x v="0"/>
          </reference>
          <reference field="4" count="1" selected="0">
            <x v="2"/>
          </reference>
        </references>
      </pivotArea>
    </chartFormat>
    <chartFormat chart="6" format="75" series="1">
      <pivotArea type="data" outline="0" fieldPosition="0">
        <references count="2">
          <reference field="4294967294" count="1" selected="0">
            <x v="0"/>
          </reference>
          <reference field="4" count="1" selected="0">
            <x v="3"/>
          </reference>
        </references>
      </pivotArea>
    </chartFormat>
    <chartFormat chart="6" format="7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37FD65-3CF7-45FF-8612-D89FE4EAA82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2:B17" firstHeaderRow="1" firstDataRow="1" firstDataCol="1"/>
  <pivotFields count="18">
    <pivotField showAll="0"/>
    <pivotField showAll="0"/>
    <pivotField showAll="0"/>
    <pivotField showAll="0"/>
    <pivotField axis="axisRow" showAll="0">
      <items count="5">
        <item x="1"/>
        <item x="2"/>
        <item x="0"/>
        <item x="3"/>
        <item t="default"/>
      </items>
    </pivotField>
    <pivotField showAll="0"/>
    <pivotField showAll="0"/>
    <pivotField showAll="0"/>
    <pivotField showAll="0"/>
    <pivotField numFmtId="14" showAll="0">
      <items count="950">
        <item x="0"/>
        <item x="1"/>
        <item x="395"/>
        <item x="396"/>
        <item x="2"/>
        <item x="397"/>
        <item x="398"/>
        <item x="399"/>
        <item x="3"/>
        <item x="400"/>
        <item x="401"/>
        <item x="402"/>
        <item x="403"/>
        <item x="404"/>
        <item x="405"/>
        <item x="4"/>
        <item x="5"/>
        <item x="406"/>
        <item x="6"/>
        <item x="407"/>
        <item x="408"/>
        <item x="7"/>
        <item x="409"/>
        <item x="410"/>
        <item x="411"/>
        <item x="412"/>
        <item x="8"/>
        <item x="413"/>
        <item x="414"/>
        <item x="9"/>
        <item x="10"/>
        <item x="415"/>
        <item x="416"/>
        <item x="11"/>
        <item x="12"/>
        <item x="417"/>
        <item x="13"/>
        <item x="418"/>
        <item x="419"/>
        <item x="420"/>
        <item x="14"/>
        <item x="421"/>
        <item x="422"/>
        <item x="15"/>
        <item x="423"/>
        <item x="16"/>
        <item x="424"/>
        <item x="17"/>
        <item x="18"/>
        <item x="19"/>
        <item x="425"/>
        <item x="20"/>
        <item x="21"/>
        <item x="22"/>
        <item x="426"/>
        <item x="427"/>
        <item x="428"/>
        <item x="23"/>
        <item x="429"/>
        <item x="430"/>
        <item x="24"/>
        <item x="431"/>
        <item x="432"/>
        <item x="433"/>
        <item x="434"/>
        <item x="435"/>
        <item x="25"/>
        <item x="436"/>
        <item x="437"/>
        <item x="26"/>
        <item x="438"/>
        <item x="439"/>
        <item x="27"/>
        <item x="440"/>
        <item x="28"/>
        <item x="29"/>
        <item x="441"/>
        <item x="442"/>
        <item x="443"/>
        <item x="30"/>
        <item x="31"/>
        <item x="444"/>
        <item x="445"/>
        <item x="446"/>
        <item x="447"/>
        <item x="32"/>
        <item x="33"/>
        <item x="34"/>
        <item x="448"/>
        <item x="35"/>
        <item x="449"/>
        <item x="450"/>
        <item x="36"/>
        <item x="37"/>
        <item x="38"/>
        <item x="451"/>
        <item x="452"/>
        <item x="39"/>
        <item x="453"/>
        <item x="40"/>
        <item x="41"/>
        <item x="454"/>
        <item x="42"/>
        <item x="43"/>
        <item x="455"/>
        <item x="456"/>
        <item x="44"/>
        <item x="45"/>
        <item x="46"/>
        <item x="457"/>
        <item x="47"/>
        <item x="48"/>
        <item x="458"/>
        <item x="49"/>
        <item x="459"/>
        <item x="50"/>
        <item x="51"/>
        <item x="460"/>
        <item x="461"/>
        <item x="52"/>
        <item x="53"/>
        <item x="462"/>
        <item x="463"/>
        <item x="54"/>
        <item x="464"/>
        <item x="55"/>
        <item x="465"/>
        <item x="56"/>
        <item x="466"/>
        <item x="467"/>
        <item x="468"/>
        <item x="57"/>
        <item x="58"/>
        <item x="469"/>
        <item x="470"/>
        <item x="59"/>
        <item x="471"/>
        <item x="60"/>
        <item x="61"/>
        <item x="62"/>
        <item x="63"/>
        <item x="472"/>
        <item x="64"/>
        <item x="473"/>
        <item x="474"/>
        <item x="475"/>
        <item x="65"/>
        <item x="66"/>
        <item x="67"/>
        <item x="68"/>
        <item x="69"/>
        <item x="476"/>
        <item x="477"/>
        <item x="70"/>
        <item x="478"/>
        <item x="479"/>
        <item x="71"/>
        <item x="72"/>
        <item x="480"/>
        <item x="481"/>
        <item x="482"/>
        <item x="73"/>
        <item x="74"/>
        <item x="75"/>
        <item x="76"/>
        <item x="77"/>
        <item x="78"/>
        <item x="483"/>
        <item x="79"/>
        <item x="484"/>
        <item x="80"/>
        <item x="485"/>
        <item x="486"/>
        <item x="487"/>
        <item x="81"/>
        <item x="82"/>
        <item x="488"/>
        <item x="489"/>
        <item x="490"/>
        <item x="491"/>
        <item x="492"/>
        <item x="493"/>
        <item x="494"/>
        <item x="495"/>
        <item x="496"/>
        <item x="83"/>
        <item x="497"/>
        <item x="84"/>
        <item x="498"/>
        <item x="85"/>
        <item x="499"/>
        <item x="86"/>
        <item x="500"/>
        <item x="87"/>
        <item x="501"/>
        <item x="502"/>
        <item x="503"/>
        <item x="88"/>
        <item x="504"/>
        <item x="505"/>
        <item x="89"/>
        <item x="90"/>
        <item x="506"/>
        <item x="91"/>
        <item x="507"/>
        <item x="508"/>
        <item x="509"/>
        <item x="92"/>
        <item x="510"/>
        <item x="511"/>
        <item x="93"/>
        <item x="512"/>
        <item x="513"/>
        <item x="514"/>
        <item x="94"/>
        <item x="515"/>
        <item x="95"/>
        <item x="516"/>
        <item x="517"/>
        <item x="96"/>
        <item x="518"/>
        <item x="97"/>
        <item x="519"/>
        <item x="98"/>
        <item x="99"/>
        <item x="100"/>
        <item x="520"/>
        <item x="521"/>
        <item x="522"/>
        <item x="101"/>
        <item x="523"/>
        <item x="524"/>
        <item x="525"/>
        <item x="526"/>
        <item x="102"/>
        <item x="527"/>
        <item x="528"/>
        <item x="529"/>
        <item x="103"/>
        <item x="104"/>
        <item x="530"/>
        <item x="105"/>
        <item x="106"/>
        <item x="107"/>
        <item x="108"/>
        <item x="531"/>
        <item x="532"/>
        <item x="109"/>
        <item x="110"/>
        <item x="533"/>
        <item x="534"/>
        <item x="535"/>
        <item x="536"/>
        <item x="537"/>
        <item x="111"/>
        <item x="538"/>
        <item x="112"/>
        <item x="539"/>
        <item x="113"/>
        <item x="114"/>
        <item x="540"/>
        <item x="541"/>
        <item x="542"/>
        <item x="115"/>
        <item x="116"/>
        <item x="543"/>
        <item x="117"/>
        <item x="544"/>
        <item x="118"/>
        <item x="119"/>
        <item x="545"/>
        <item x="120"/>
        <item x="121"/>
        <item x="546"/>
        <item x="547"/>
        <item x="548"/>
        <item x="122"/>
        <item x="549"/>
        <item x="550"/>
        <item x="551"/>
        <item x="123"/>
        <item x="552"/>
        <item x="553"/>
        <item x="554"/>
        <item x="555"/>
        <item x="124"/>
        <item x="556"/>
        <item x="557"/>
        <item x="558"/>
        <item x="559"/>
        <item x="125"/>
        <item x="560"/>
        <item x="561"/>
        <item x="562"/>
        <item x="126"/>
        <item x="563"/>
        <item x="564"/>
        <item x="565"/>
        <item x="127"/>
        <item x="566"/>
        <item x="128"/>
        <item x="567"/>
        <item x="129"/>
        <item x="130"/>
        <item x="568"/>
        <item x="131"/>
        <item x="569"/>
        <item x="570"/>
        <item x="571"/>
        <item x="572"/>
        <item x="132"/>
        <item x="573"/>
        <item x="574"/>
        <item x="575"/>
        <item x="576"/>
        <item x="577"/>
        <item x="578"/>
        <item x="579"/>
        <item x="580"/>
        <item x="581"/>
        <item x="582"/>
        <item x="133"/>
        <item x="134"/>
        <item x="135"/>
        <item x="136"/>
        <item x="137"/>
        <item x="138"/>
        <item x="583"/>
        <item x="584"/>
        <item x="139"/>
        <item x="140"/>
        <item x="141"/>
        <item x="585"/>
        <item x="142"/>
        <item x="586"/>
        <item x="587"/>
        <item x="588"/>
        <item x="589"/>
        <item x="590"/>
        <item x="591"/>
        <item x="143"/>
        <item x="144"/>
        <item x="592"/>
        <item x="145"/>
        <item x="146"/>
        <item x="147"/>
        <item x="593"/>
        <item x="594"/>
        <item x="595"/>
        <item x="148"/>
        <item x="596"/>
        <item x="597"/>
        <item x="149"/>
        <item x="150"/>
        <item x="151"/>
        <item x="598"/>
        <item x="599"/>
        <item x="152"/>
        <item x="600"/>
        <item x="153"/>
        <item x="601"/>
        <item x="602"/>
        <item x="603"/>
        <item x="604"/>
        <item x="605"/>
        <item x="606"/>
        <item x="607"/>
        <item x="154"/>
        <item x="155"/>
        <item x="608"/>
        <item x="156"/>
        <item x="609"/>
        <item x="610"/>
        <item x="157"/>
        <item x="611"/>
        <item x="612"/>
        <item x="158"/>
        <item x="159"/>
        <item x="160"/>
        <item x="613"/>
        <item x="161"/>
        <item x="614"/>
        <item x="615"/>
        <item x="616"/>
        <item x="617"/>
        <item x="162"/>
        <item x="163"/>
        <item x="164"/>
        <item x="618"/>
        <item x="165"/>
        <item x="619"/>
        <item x="620"/>
        <item x="621"/>
        <item x="622"/>
        <item x="166"/>
        <item x="167"/>
        <item x="623"/>
        <item x="624"/>
        <item x="168"/>
        <item x="169"/>
        <item x="625"/>
        <item x="170"/>
        <item x="626"/>
        <item x="627"/>
        <item x="171"/>
        <item x="628"/>
        <item x="172"/>
        <item x="173"/>
        <item x="174"/>
        <item x="175"/>
        <item x="176"/>
        <item x="629"/>
        <item x="177"/>
        <item x="630"/>
        <item x="178"/>
        <item x="631"/>
        <item x="179"/>
        <item x="180"/>
        <item x="632"/>
        <item x="181"/>
        <item x="633"/>
        <item x="182"/>
        <item x="634"/>
        <item x="635"/>
        <item x="183"/>
        <item x="636"/>
        <item x="637"/>
        <item x="638"/>
        <item x="184"/>
        <item x="185"/>
        <item x="639"/>
        <item x="186"/>
        <item x="187"/>
        <item x="188"/>
        <item x="640"/>
        <item x="189"/>
        <item x="641"/>
        <item x="642"/>
        <item x="643"/>
        <item x="644"/>
        <item x="190"/>
        <item x="645"/>
        <item x="646"/>
        <item x="191"/>
        <item x="647"/>
        <item x="192"/>
        <item x="648"/>
        <item x="649"/>
        <item x="650"/>
        <item x="651"/>
        <item x="193"/>
        <item x="652"/>
        <item x="653"/>
        <item x="194"/>
        <item x="654"/>
        <item x="655"/>
        <item x="656"/>
        <item x="195"/>
        <item x="657"/>
        <item x="196"/>
        <item x="658"/>
        <item x="659"/>
        <item x="660"/>
        <item x="661"/>
        <item x="662"/>
        <item x="197"/>
        <item x="198"/>
        <item x="199"/>
        <item x="663"/>
        <item x="200"/>
        <item x="664"/>
        <item x="665"/>
        <item x="666"/>
        <item x="201"/>
        <item x="667"/>
        <item x="668"/>
        <item x="669"/>
        <item x="670"/>
        <item x="202"/>
        <item x="203"/>
        <item x="671"/>
        <item x="204"/>
        <item x="205"/>
        <item x="672"/>
        <item x="206"/>
        <item x="673"/>
        <item x="207"/>
        <item x="208"/>
        <item x="674"/>
        <item x="675"/>
        <item x="209"/>
        <item x="676"/>
        <item x="210"/>
        <item x="677"/>
        <item x="211"/>
        <item x="678"/>
        <item x="679"/>
        <item x="680"/>
        <item x="212"/>
        <item x="681"/>
        <item x="682"/>
        <item x="683"/>
        <item x="684"/>
        <item x="213"/>
        <item x="214"/>
        <item x="215"/>
        <item x="216"/>
        <item x="685"/>
        <item x="686"/>
        <item x="217"/>
        <item x="218"/>
        <item x="687"/>
        <item x="219"/>
        <item x="688"/>
        <item x="689"/>
        <item x="220"/>
        <item x="690"/>
        <item x="691"/>
        <item x="221"/>
        <item x="692"/>
        <item x="693"/>
        <item x="694"/>
        <item x="695"/>
        <item x="222"/>
        <item x="223"/>
        <item x="696"/>
        <item x="224"/>
        <item x="225"/>
        <item x="226"/>
        <item x="697"/>
        <item x="698"/>
        <item x="227"/>
        <item x="699"/>
        <item x="700"/>
        <item x="701"/>
        <item x="702"/>
        <item x="703"/>
        <item x="704"/>
        <item x="705"/>
        <item x="228"/>
        <item x="229"/>
        <item x="706"/>
        <item x="707"/>
        <item x="708"/>
        <item x="230"/>
        <item x="231"/>
        <item x="709"/>
        <item x="710"/>
        <item x="711"/>
        <item x="232"/>
        <item x="233"/>
        <item x="234"/>
        <item x="235"/>
        <item x="236"/>
        <item x="712"/>
        <item x="713"/>
        <item x="714"/>
        <item x="237"/>
        <item x="715"/>
        <item x="716"/>
        <item x="238"/>
        <item x="239"/>
        <item x="240"/>
        <item x="717"/>
        <item x="241"/>
        <item x="242"/>
        <item x="243"/>
        <item x="718"/>
        <item x="719"/>
        <item x="720"/>
        <item x="721"/>
        <item x="722"/>
        <item x="723"/>
        <item x="244"/>
        <item x="724"/>
        <item x="245"/>
        <item x="725"/>
        <item x="246"/>
        <item x="726"/>
        <item x="727"/>
        <item x="728"/>
        <item x="729"/>
        <item x="730"/>
        <item x="247"/>
        <item x="731"/>
        <item x="732"/>
        <item x="248"/>
        <item x="733"/>
        <item x="249"/>
        <item x="250"/>
        <item x="734"/>
        <item x="735"/>
        <item x="251"/>
        <item x="736"/>
        <item x="737"/>
        <item x="738"/>
        <item x="739"/>
        <item x="740"/>
        <item x="252"/>
        <item x="741"/>
        <item x="253"/>
        <item x="742"/>
        <item x="254"/>
        <item x="743"/>
        <item x="744"/>
        <item x="745"/>
        <item x="255"/>
        <item x="746"/>
        <item x="747"/>
        <item x="256"/>
        <item x="748"/>
        <item x="749"/>
        <item x="257"/>
        <item x="258"/>
        <item x="750"/>
        <item x="259"/>
        <item x="751"/>
        <item x="752"/>
        <item x="260"/>
        <item x="261"/>
        <item x="753"/>
        <item x="754"/>
        <item x="262"/>
        <item x="755"/>
        <item x="756"/>
        <item x="757"/>
        <item x="758"/>
        <item x="263"/>
        <item x="759"/>
        <item x="264"/>
        <item x="760"/>
        <item x="265"/>
        <item x="761"/>
        <item x="266"/>
        <item x="267"/>
        <item x="268"/>
        <item x="269"/>
        <item x="762"/>
        <item x="270"/>
        <item x="271"/>
        <item x="763"/>
        <item x="272"/>
        <item x="273"/>
        <item x="764"/>
        <item x="765"/>
        <item x="766"/>
        <item x="767"/>
        <item x="274"/>
        <item x="275"/>
        <item x="768"/>
        <item x="276"/>
        <item x="277"/>
        <item x="769"/>
        <item x="278"/>
        <item x="770"/>
        <item x="279"/>
        <item x="280"/>
        <item x="281"/>
        <item x="282"/>
        <item x="283"/>
        <item x="771"/>
        <item x="772"/>
        <item x="773"/>
        <item x="284"/>
        <item x="774"/>
        <item x="285"/>
        <item x="286"/>
        <item x="287"/>
        <item x="775"/>
        <item x="776"/>
        <item x="288"/>
        <item x="289"/>
        <item x="777"/>
        <item x="778"/>
        <item x="779"/>
        <item x="780"/>
        <item x="290"/>
        <item x="781"/>
        <item x="291"/>
        <item x="292"/>
        <item x="293"/>
        <item x="782"/>
        <item x="294"/>
        <item x="783"/>
        <item x="295"/>
        <item x="784"/>
        <item x="785"/>
        <item x="296"/>
        <item x="786"/>
        <item x="787"/>
        <item x="788"/>
        <item x="789"/>
        <item x="297"/>
        <item x="298"/>
        <item x="299"/>
        <item x="790"/>
        <item x="300"/>
        <item x="301"/>
        <item x="302"/>
        <item x="791"/>
        <item x="792"/>
        <item x="303"/>
        <item x="793"/>
        <item x="794"/>
        <item x="304"/>
        <item x="305"/>
        <item x="795"/>
        <item x="306"/>
        <item x="796"/>
        <item x="797"/>
        <item x="307"/>
        <item x="308"/>
        <item x="798"/>
        <item x="799"/>
        <item x="800"/>
        <item x="309"/>
        <item x="801"/>
        <item x="802"/>
        <item x="803"/>
        <item x="804"/>
        <item x="805"/>
        <item x="806"/>
        <item x="310"/>
        <item x="807"/>
        <item x="808"/>
        <item x="311"/>
        <item x="312"/>
        <item x="809"/>
        <item x="313"/>
        <item x="810"/>
        <item x="314"/>
        <item x="811"/>
        <item x="812"/>
        <item x="813"/>
        <item x="814"/>
        <item x="815"/>
        <item x="816"/>
        <item x="315"/>
        <item x="817"/>
        <item x="818"/>
        <item x="316"/>
        <item x="819"/>
        <item x="820"/>
        <item x="821"/>
        <item x="317"/>
        <item x="822"/>
        <item x="823"/>
        <item x="824"/>
        <item x="825"/>
        <item x="826"/>
        <item x="827"/>
        <item x="828"/>
        <item x="829"/>
        <item x="830"/>
        <item x="318"/>
        <item x="319"/>
        <item x="831"/>
        <item x="832"/>
        <item x="320"/>
        <item x="833"/>
        <item x="834"/>
        <item x="321"/>
        <item x="322"/>
        <item x="323"/>
        <item x="835"/>
        <item x="836"/>
        <item x="324"/>
        <item x="837"/>
        <item x="838"/>
        <item x="839"/>
        <item x="840"/>
        <item x="841"/>
        <item x="325"/>
        <item x="326"/>
        <item x="842"/>
        <item x="843"/>
        <item x="844"/>
        <item x="845"/>
        <item x="846"/>
        <item x="847"/>
        <item x="848"/>
        <item x="327"/>
        <item x="849"/>
        <item x="850"/>
        <item x="328"/>
        <item x="851"/>
        <item x="329"/>
        <item x="852"/>
        <item x="853"/>
        <item x="854"/>
        <item x="855"/>
        <item x="330"/>
        <item x="331"/>
        <item x="856"/>
        <item x="857"/>
        <item x="858"/>
        <item x="859"/>
        <item x="860"/>
        <item x="861"/>
        <item x="332"/>
        <item x="333"/>
        <item x="862"/>
        <item x="334"/>
        <item x="335"/>
        <item x="863"/>
        <item x="336"/>
        <item x="864"/>
        <item x="337"/>
        <item x="338"/>
        <item x="865"/>
        <item x="866"/>
        <item x="867"/>
        <item x="339"/>
        <item x="868"/>
        <item x="869"/>
        <item x="870"/>
        <item x="871"/>
        <item x="340"/>
        <item x="872"/>
        <item x="873"/>
        <item x="874"/>
        <item x="341"/>
        <item x="342"/>
        <item x="875"/>
        <item x="876"/>
        <item x="343"/>
        <item x="877"/>
        <item x="878"/>
        <item x="344"/>
        <item x="345"/>
        <item x="879"/>
        <item x="880"/>
        <item x="346"/>
        <item x="881"/>
        <item x="882"/>
        <item x="347"/>
        <item x="348"/>
        <item x="883"/>
        <item x="884"/>
        <item x="349"/>
        <item x="885"/>
        <item x="886"/>
        <item x="887"/>
        <item x="888"/>
        <item x="889"/>
        <item x="890"/>
        <item x="891"/>
        <item x="892"/>
        <item x="350"/>
        <item x="893"/>
        <item x="351"/>
        <item x="352"/>
        <item x="894"/>
        <item x="895"/>
        <item x="353"/>
        <item x="896"/>
        <item x="897"/>
        <item x="898"/>
        <item x="899"/>
        <item x="354"/>
        <item x="900"/>
        <item x="901"/>
        <item x="902"/>
        <item x="903"/>
        <item x="904"/>
        <item x="905"/>
        <item x="906"/>
        <item x="355"/>
        <item x="356"/>
        <item x="357"/>
        <item x="907"/>
        <item x="358"/>
        <item x="908"/>
        <item x="909"/>
        <item x="910"/>
        <item x="359"/>
        <item x="360"/>
        <item x="911"/>
        <item x="361"/>
        <item x="362"/>
        <item x="912"/>
        <item x="913"/>
        <item x="914"/>
        <item x="915"/>
        <item x="363"/>
        <item x="916"/>
        <item x="917"/>
        <item x="364"/>
        <item x="365"/>
        <item x="366"/>
        <item x="918"/>
        <item x="367"/>
        <item x="919"/>
        <item x="368"/>
        <item x="369"/>
        <item x="920"/>
        <item x="370"/>
        <item x="921"/>
        <item x="922"/>
        <item x="923"/>
        <item x="924"/>
        <item x="925"/>
        <item x="371"/>
        <item x="372"/>
        <item x="926"/>
        <item x="927"/>
        <item x="373"/>
        <item x="928"/>
        <item x="929"/>
        <item x="374"/>
        <item x="375"/>
        <item x="376"/>
        <item x="930"/>
        <item x="377"/>
        <item x="378"/>
        <item x="931"/>
        <item x="379"/>
        <item x="932"/>
        <item x="933"/>
        <item x="934"/>
        <item x="380"/>
        <item x="381"/>
        <item x="382"/>
        <item x="935"/>
        <item x="383"/>
        <item x="936"/>
        <item x="384"/>
        <item x="385"/>
        <item x="386"/>
        <item x="937"/>
        <item x="387"/>
        <item x="938"/>
        <item x="939"/>
        <item x="940"/>
        <item x="941"/>
        <item x="942"/>
        <item x="943"/>
        <item x="944"/>
        <item x="945"/>
        <item x="388"/>
        <item x="389"/>
        <item x="946"/>
        <item x="390"/>
        <item x="947"/>
        <item x="391"/>
        <item x="392"/>
        <item x="393"/>
        <item x="948"/>
        <item x="394"/>
        <item t="default"/>
      </items>
    </pivotField>
    <pivotField dataField="1" numFmtId="165" showAll="0"/>
    <pivotField numFmtId="166" showAll="0"/>
    <pivotField showAll="0">
      <items count="14">
        <item x="8"/>
        <item x="6"/>
        <item x="12"/>
        <item x="2"/>
        <item x="0"/>
        <item x="5"/>
        <item x="1"/>
        <item x="7"/>
        <item x="9"/>
        <item x="3"/>
        <item x="10"/>
        <item x="11"/>
        <item x="4"/>
        <item t="default"/>
      </items>
    </pivotField>
    <pivotField showAll="0">
      <items count="142">
        <item x="30"/>
        <item x="17"/>
        <item x="121"/>
        <item x="34"/>
        <item x="45"/>
        <item x="113"/>
        <item x="74"/>
        <item x="136"/>
        <item x="131"/>
        <item x="8"/>
        <item x="4"/>
        <item x="93"/>
        <item x="118"/>
        <item x="130"/>
        <item x="48"/>
        <item x="101"/>
        <item x="124"/>
        <item x="64"/>
        <item x="79"/>
        <item x="68"/>
        <item x="25"/>
        <item x="6"/>
        <item x="116"/>
        <item x="135"/>
        <item x="22"/>
        <item x="77"/>
        <item x="43"/>
        <item x="5"/>
        <item x="137"/>
        <item x="86"/>
        <item x="55"/>
        <item x="1"/>
        <item x="80"/>
        <item x="67"/>
        <item x="58"/>
        <item x="122"/>
        <item x="78"/>
        <item x="127"/>
        <item x="12"/>
        <item x="128"/>
        <item x="96"/>
        <item x="62"/>
        <item x="82"/>
        <item x="126"/>
        <item x="44"/>
        <item x="66"/>
        <item x="40"/>
        <item x="99"/>
        <item x="94"/>
        <item x="53"/>
        <item x="119"/>
        <item x="9"/>
        <item x="20"/>
        <item x="36"/>
        <item x="15"/>
        <item x="85"/>
        <item x="63"/>
        <item x="56"/>
        <item x="92"/>
        <item x="75"/>
        <item x="47"/>
        <item x="39"/>
        <item x="120"/>
        <item x="23"/>
        <item x="60"/>
        <item x="70"/>
        <item x="13"/>
        <item x="3"/>
        <item x="111"/>
        <item x="103"/>
        <item x="84"/>
        <item x="73"/>
        <item x="76"/>
        <item x="14"/>
        <item x="125"/>
        <item x="18"/>
        <item x="28"/>
        <item x="41"/>
        <item x="138"/>
        <item x="46"/>
        <item x="133"/>
        <item x="0"/>
        <item x="57"/>
        <item x="100"/>
        <item x="38"/>
        <item x="24"/>
        <item x="88"/>
        <item x="42"/>
        <item x="107"/>
        <item x="110"/>
        <item x="109"/>
        <item x="71"/>
        <item x="104"/>
        <item x="10"/>
        <item x="105"/>
        <item x="89"/>
        <item x="61"/>
        <item x="90"/>
        <item x="132"/>
        <item x="51"/>
        <item x="11"/>
        <item x="50"/>
        <item x="59"/>
        <item x="95"/>
        <item x="32"/>
        <item x="54"/>
        <item x="139"/>
        <item x="102"/>
        <item x="123"/>
        <item x="134"/>
        <item x="31"/>
        <item x="140"/>
        <item x="81"/>
        <item x="108"/>
        <item x="7"/>
        <item x="16"/>
        <item x="91"/>
        <item x="87"/>
        <item x="106"/>
        <item x="21"/>
        <item x="129"/>
        <item x="26"/>
        <item x="97"/>
        <item x="65"/>
        <item x="19"/>
        <item x="49"/>
        <item x="2"/>
        <item x="52"/>
        <item x="29"/>
        <item x="117"/>
        <item x="37"/>
        <item x="72"/>
        <item x="115"/>
        <item x="114"/>
        <item x="27"/>
        <item x="83"/>
        <item x="33"/>
        <item x="112"/>
        <item x="98"/>
        <item x="35"/>
        <item x="69"/>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4"/>
  </rowFields>
  <rowItems count="5">
    <i>
      <x/>
    </i>
    <i>
      <x v="1"/>
    </i>
    <i>
      <x v="2"/>
    </i>
    <i>
      <x v="3"/>
    </i>
    <i t="grand">
      <x/>
    </i>
  </rowItems>
  <colItems count="1">
    <i/>
  </colItems>
  <dataFields count="1">
    <dataField name="Sum of Annual Salary" fld="10" baseField="0" baseItem="0" numFmtId="165"/>
  </dataFields>
  <chartFormats count="2">
    <chartFormat chart="10" format="5"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F3B68A-9BBD-446A-8395-40DDAC30C43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6:B111" firstHeaderRow="1" firstDataRow="1" firstDataCol="1"/>
  <pivotFields count="18">
    <pivotField dataField="1" showAll="0"/>
    <pivotField showAll="0"/>
    <pivotField axis="axisRow" showAll="0">
      <items count="35">
        <item x="17"/>
        <item x="21"/>
        <item x="16"/>
        <item x="33"/>
        <item x="11"/>
        <item x="8"/>
        <item x="27"/>
        <item x="14"/>
        <item x="29"/>
        <item x="1"/>
        <item x="0"/>
        <item x="26"/>
        <item x="3"/>
        <item x="28"/>
        <item x="18"/>
        <item x="23"/>
        <item x="7"/>
        <item x="5"/>
        <item x="30"/>
        <item x="20"/>
        <item x="19"/>
        <item x="9"/>
        <item x="22"/>
        <item x="24"/>
        <item x="31"/>
        <item x="25"/>
        <item x="4"/>
        <item x="6"/>
        <item x="10"/>
        <item x="13"/>
        <item x="15"/>
        <item x="2"/>
        <item x="32"/>
        <item x="12"/>
        <item t="default"/>
      </items>
    </pivotField>
    <pivotField showAll="0"/>
    <pivotField showAll="0"/>
    <pivotField showAll="0"/>
    <pivotField showAll="0"/>
    <pivotField showAll="0"/>
    <pivotField showAll="0"/>
    <pivotField numFmtId="14" showAll="0">
      <items count="950">
        <item x="0"/>
        <item x="1"/>
        <item x="395"/>
        <item x="396"/>
        <item x="2"/>
        <item x="397"/>
        <item x="398"/>
        <item x="399"/>
        <item x="3"/>
        <item x="400"/>
        <item x="401"/>
        <item x="402"/>
        <item x="403"/>
        <item x="404"/>
        <item x="405"/>
        <item x="4"/>
        <item x="5"/>
        <item x="406"/>
        <item x="6"/>
        <item x="407"/>
        <item x="408"/>
        <item x="7"/>
        <item x="409"/>
        <item x="410"/>
        <item x="411"/>
        <item x="412"/>
        <item x="8"/>
        <item x="413"/>
        <item x="414"/>
        <item x="9"/>
        <item x="10"/>
        <item x="415"/>
        <item x="416"/>
        <item x="11"/>
        <item x="12"/>
        <item x="417"/>
        <item x="13"/>
        <item x="418"/>
        <item x="419"/>
        <item x="420"/>
        <item x="14"/>
        <item x="421"/>
        <item x="422"/>
        <item x="15"/>
        <item x="423"/>
        <item x="16"/>
        <item x="424"/>
        <item x="17"/>
        <item x="18"/>
        <item x="19"/>
        <item x="425"/>
        <item x="20"/>
        <item x="21"/>
        <item x="22"/>
        <item x="426"/>
        <item x="427"/>
        <item x="428"/>
        <item x="23"/>
        <item x="429"/>
        <item x="430"/>
        <item x="24"/>
        <item x="431"/>
        <item x="432"/>
        <item x="433"/>
        <item x="434"/>
        <item x="435"/>
        <item x="25"/>
        <item x="436"/>
        <item x="437"/>
        <item x="26"/>
        <item x="438"/>
        <item x="439"/>
        <item x="27"/>
        <item x="440"/>
        <item x="28"/>
        <item x="29"/>
        <item x="441"/>
        <item x="442"/>
        <item x="443"/>
        <item x="30"/>
        <item x="31"/>
        <item x="444"/>
        <item x="445"/>
        <item x="446"/>
        <item x="447"/>
        <item x="32"/>
        <item x="33"/>
        <item x="34"/>
        <item x="448"/>
        <item x="35"/>
        <item x="449"/>
        <item x="450"/>
        <item x="36"/>
        <item x="37"/>
        <item x="38"/>
        <item x="451"/>
        <item x="452"/>
        <item x="39"/>
        <item x="453"/>
        <item x="40"/>
        <item x="41"/>
        <item x="454"/>
        <item x="42"/>
        <item x="43"/>
        <item x="455"/>
        <item x="456"/>
        <item x="44"/>
        <item x="45"/>
        <item x="46"/>
        <item x="457"/>
        <item x="47"/>
        <item x="48"/>
        <item x="458"/>
        <item x="49"/>
        <item x="459"/>
        <item x="50"/>
        <item x="51"/>
        <item x="460"/>
        <item x="461"/>
        <item x="52"/>
        <item x="53"/>
        <item x="462"/>
        <item x="463"/>
        <item x="54"/>
        <item x="464"/>
        <item x="55"/>
        <item x="465"/>
        <item x="56"/>
        <item x="466"/>
        <item x="467"/>
        <item x="468"/>
        <item x="57"/>
        <item x="58"/>
        <item x="469"/>
        <item x="470"/>
        <item x="59"/>
        <item x="471"/>
        <item x="60"/>
        <item x="61"/>
        <item x="62"/>
        <item x="63"/>
        <item x="472"/>
        <item x="64"/>
        <item x="473"/>
        <item x="474"/>
        <item x="475"/>
        <item x="65"/>
        <item x="66"/>
        <item x="67"/>
        <item x="68"/>
        <item x="69"/>
        <item x="476"/>
        <item x="477"/>
        <item x="70"/>
        <item x="478"/>
        <item x="479"/>
        <item x="71"/>
        <item x="72"/>
        <item x="480"/>
        <item x="481"/>
        <item x="482"/>
        <item x="73"/>
        <item x="74"/>
        <item x="75"/>
        <item x="76"/>
        <item x="77"/>
        <item x="78"/>
        <item x="483"/>
        <item x="79"/>
        <item x="484"/>
        <item x="80"/>
        <item x="485"/>
        <item x="486"/>
        <item x="487"/>
        <item x="81"/>
        <item x="82"/>
        <item x="488"/>
        <item x="489"/>
        <item x="490"/>
        <item x="491"/>
        <item x="492"/>
        <item x="493"/>
        <item x="494"/>
        <item x="495"/>
        <item x="496"/>
        <item x="83"/>
        <item x="497"/>
        <item x="84"/>
        <item x="498"/>
        <item x="85"/>
        <item x="499"/>
        <item x="86"/>
        <item x="500"/>
        <item x="87"/>
        <item x="501"/>
        <item x="502"/>
        <item x="503"/>
        <item x="88"/>
        <item x="504"/>
        <item x="505"/>
        <item x="89"/>
        <item x="90"/>
        <item x="506"/>
        <item x="91"/>
        <item x="507"/>
        <item x="508"/>
        <item x="509"/>
        <item x="92"/>
        <item x="510"/>
        <item x="511"/>
        <item x="93"/>
        <item x="512"/>
        <item x="513"/>
        <item x="514"/>
        <item x="94"/>
        <item x="515"/>
        <item x="95"/>
        <item x="516"/>
        <item x="517"/>
        <item x="96"/>
        <item x="518"/>
        <item x="97"/>
        <item x="519"/>
        <item x="98"/>
        <item x="99"/>
        <item x="100"/>
        <item x="520"/>
        <item x="521"/>
        <item x="522"/>
        <item x="101"/>
        <item x="523"/>
        <item x="524"/>
        <item x="525"/>
        <item x="526"/>
        <item x="102"/>
        <item x="527"/>
        <item x="528"/>
        <item x="529"/>
        <item x="103"/>
        <item x="104"/>
        <item x="530"/>
        <item x="105"/>
        <item x="106"/>
        <item x="107"/>
        <item x="108"/>
        <item x="531"/>
        <item x="532"/>
        <item x="109"/>
        <item x="110"/>
        <item x="533"/>
        <item x="534"/>
        <item x="535"/>
        <item x="536"/>
        <item x="537"/>
        <item x="111"/>
        <item x="538"/>
        <item x="112"/>
        <item x="539"/>
        <item x="113"/>
        <item x="114"/>
        <item x="540"/>
        <item x="541"/>
        <item x="542"/>
        <item x="115"/>
        <item x="116"/>
        <item x="543"/>
        <item x="117"/>
        <item x="544"/>
        <item x="118"/>
        <item x="119"/>
        <item x="545"/>
        <item x="120"/>
        <item x="121"/>
        <item x="546"/>
        <item x="547"/>
        <item x="548"/>
        <item x="122"/>
        <item x="549"/>
        <item x="550"/>
        <item x="551"/>
        <item x="123"/>
        <item x="552"/>
        <item x="553"/>
        <item x="554"/>
        <item x="555"/>
        <item x="124"/>
        <item x="556"/>
        <item x="557"/>
        <item x="558"/>
        <item x="559"/>
        <item x="125"/>
        <item x="560"/>
        <item x="561"/>
        <item x="562"/>
        <item x="126"/>
        <item x="563"/>
        <item x="564"/>
        <item x="565"/>
        <item x="127"/>
        <item x="566"/>
        <item x="128"/>
        <item x="567"/>
        <item x="129"/>
        <item x="130"/>
        <item x="568"/>
        <item x="131"/>
        <item x="569"/>
        <item x="570"/>
        <item x="571"/>
        <item x="572"/>
        <item x="132"/>
        <item x="573"/>
        <item x="574"/>
        <item x="575"/>
        <item x="576"/>
        <item x="577"/>
        <item x="578"/>
        <item x="579"/>
        <item x="580"/>
        <item x="581"/>
        <item x="582"/>
        <item x="133"/>
        <item x="134"/>
        <item x="135"/>
        <item x="136"/>
        <item x="137"/>
        <item x="138"/>
        <item x="583"/>
        <item x="584"/>
        <item x="139"/>
        <item x="140"/>
        <item x="141"/>
        <item x="585"/>
        <item x="142"/>
        <item x="586"/>
        <item x="587"/>
        <item x="588"/>
        <item x="589"/>
        <item x="590"/>
        <item x="591"/>
        <item x="143"/>
        <item x="144"/>
        <item x="592"/>
        <item x="145"/>
        <item x="146"/>
        <item x="147"/>
        <item x="593"/>
        <item x="594"/>
        <item x="595"/>
        <item x="148"/>
        <item x="596"/>
        <item x="597"/>
        <item x="149"/>
        <item x="150"/>
        <item x="151"/>
        <item x="598"/>
        <item x="599"/>
        <item x="152"/>
        <item x="600"/>
        <item x="153"/>
        <item x="601"/>
        <item x="602"/>
        <item x="603"/>
        <item x="604"/>
        <item x="605"/>
        <item x="606"/>
        <item x="607"/>
        <item x="154"/>
        <item x="155"/>
        <item x="608"/>
        <item x="156"/>
        <item x="609"/>
        <item x="610"/>
        <item x="157"/>
        <item x="611"/>
        <item x="612"/>
        <item x="158"/>
        <item x="159"/>
        <item x="160"/>
        <item x="613"/>
        <item x="161"/>
        <item x="614"/>
        <item x="615"/>
        <item x="616"/>
        <item x="617"/>
        <item x="162"/>
        <item x="163"/>
        <item x="164"/>
        <item x="618"/>
        <item x="165"/>
        <item x="619"/>
        <item x="620"/>
        <item x="621"/>
        <item x="622"/>
        <item x="166"/>
        <item x="167"/>
        <item x="623"/>
        <item x="624"/>
        <item x="168"/>
        <item x="169"/>
        <item x="625"/>
        <item x="170"/>
        <item x="626"/>
        <item x="627"/>
        <item x="171"/>
        <item x="628"/>
        <item x="172"/>
        <item x="173"/>
        <item x="174"/>
        <item x="175"/>
        <item x="176"/>
        <item x="629"/>
        <item x="177"/>
        <item x="630"/>
        <item x="178"/>
        <item x="631"/>
        <item x="179"/>
        <item x="180"/>
        <item x="632"/>
        <item x="181"/>
        <item x="633"/>
        <item x="182"/>
        <item x="634"/>
        <item x="635"/>
        <item x="183"/>
        <item x="636"/>
        <item x="637"/>
        <item x="638"/>
        <item x="184"/>
        <item x="185"/>
        <item x="639"/>
        <item x="186"/>
        <item x="187"/>
        <item x="188"/>
        <item x="640"/>
        <item x="189"/>
        <item x="641"/>
        <item x="642"/>
        <item x="643"/>
        <item x="644"/>
        <item x="190"/>
        <item x="645"/>
        <item x="646"/>
        <item x="191"/>
        <item x="647"/>
        <item x="192"/>
        <item x="648"/>
        <item x="649"/>
        <item x="650"/>
        <item x="651"/>
        <item x="193"/>
        <item x="652"/>
        <item x="653"/>
        <item x="194"/>
        <item x="654"/>
        <item x="655"/>
        <item x="656"/>
        <item x="195"/>
        <item x="657"/>
        <item x="196"/>
        <item x="658"/>
        <item x="659"/>
        <item x="660"/>
        <item x="661"/>
        <item x="662"/>
        <item x="197"/>
        <item x="198"/>
        <item x="199"/>
        <item x="663"/>
        <item x="200"/>
        <item x="664"/>
        <item x="665"/>
        <item x="666"/>
        <item x="201"/>
        <item x="667"/>
        <item x="668"/>
        <item x="669"/>
        <item x="670"/>
        <item x="202"/>
        <item x="203"/>
        <item x="671"/>
        <item x="204"/>
        <item x="205"/>
        <item x="672"/>
        <item x="206"/>
        <item x="673"/>
        <item x="207"/>
        <item x="208"/>
        <item x="674"/>
        <item x="675"/>
        <item x="209"/>
        <item x="676"/>
        <item x="210"/>
        <item x="677"/>
        <item x="211"/>
        <item x="678"/>
        <item x="679"/>
        <item x="680"/>
        <item x="212"/>
        <item x="681"/>
        <item x="682"/>
        <item x="683"/>
        <item x="684"/>
        <item x="213"/>
        <item x="214"/>
        <item x="215"/>
        <item x="216"/>
        <item x="685"/>
        <item x="686"/>
        <item x="217"/>
        <item x="218"/>
        <item x="687"/>
        <item x="219"/>
        <item x="688"/>
        <item x="689"/>
        <item x="220"/>
        <item x="690"/>
        <item x="691"/>
        <item x="221"/>
        <item x="692"/>
        <item x="693"/>
        <item x="694"/>
        <item x="695"/>
        <item x="222"/>
        <item x="223"/>
        <item x="696"/>
        <item x="224"/>
        <item x="225"/>
        <item x="226"/>
        <item x="697"/>
        <item x="698"/>
        <item x="227"/>
        <item x="699"/>
        <item x="700"/>
        <item x="701"/>
        <item x="702"/>
        <item x="703"/>
        <item x="704"/>
        <item x="705"/>
        <item x="228"/>
        <item x="229"/>
        <item x="706"/>
        <item x="707"/>
        <item x="708"/>
        <item x="230"/>
        <item x="231"/>
        <item x="709"/>
        <item x="710"/>
        <item x="711"/>
        <item x="232"/>
        <item x="233"/>
        <item x="234"/>
        <item x="235"/>
        <item x="236"/>
        <item x="712"/>
        <item x="713"/>
        <item x="714"/>
        <item x="237"/>
        <item x="715"/>
        <item x="716"/>
        <item x="238"/>
        <item x="239"/>
        <item x="240"/>
        <item x="717"/>
        <item x="241"/>
        <item x="242"/>
        <item x="243"/>
        <item x="718"/>
        <item x="719"/>
        <item x="720"/>
        <item x="721"/>
        <item x="722"/>
        <item x="723"/>
        <item x="244"/>
        <item x="724"/>
        <item x="245"/>
        <item x="725"/>
        <item x="246"/>
        <item x="726"/>
        <item x="727"/>
        <item x="728"/>
        <item x="729"/>
        <item x="730"/>
        <item x="247"/>
        <item x="731"/>
        <item x="732"/>
        <item x="248"/>
        <item x="733"/>
        <item x="249"/>
        <item x="250"/>
        <item x="734"/>
        <item x="735"/>
        <item x="251"/>
        <item x="736"/>
        <item x="737"/>
        <item x="738"/>
        <item x="739"/>
        <item x="740"/>
        <item x="252"/>
        <item x="741"/>
        <item x="253"/>
        <item x="742"/>
        <item x="254"/>
        <item x="743"/>
        <item x="744"/>
        <item x="745"/>
        <item x="255"/>
        <item x="746"/>
        <item x="747"/>
        <item x="256"/>
        <item x="748"/>
        <item x="749"/>
        <item x="257"/>
        <item x="258"/>
        <item x="750"/>
        <item x="259"/>
        <item x="751"/>
        <item x="752"/>
        <item x="260"/>
        <item x="261"/>
        <item x="753"/>
        <item x="754"/>
        <item x="262"/>
        <item x="755"/>
        <item x="756"/>
        <item x="757"/>
        <item x="758"/>
        <item x="263"/>
        <item x="759"/>
        <item x="264"/>
        <item x="760"/>
        <item x="265"/>
        <item x="761"/>
        <item x="266"/>
        <item x="267"/>
        <item x="268"/>
        <item x="269"/>
        <item x="762"/>
        <item x="270"/>
        <item x="271"/>
        <item x="763"/>
        <item x="272"/>
        <item x="273"/>
        <item x="764"/>
        <item x="765"/>
        <item x="766"/>
        <item x="767"/>
        <item x="274"/>
        <item x="275"/>
        <item x="768"/>
        <item x="276"/>
        <item x="277"/>
        <item x="769"/>
        <item x="278"/>
        <item x="770"/>
        <item x="279"/>
        <item x="280"/>
        <item x="281"/>
        <item x="282"/>
        <item x="283"/>
        <item x="771"/>
        <item x="772"/>
        <item x="773"/>
        <item x="284"/>
        <item x="774"/>
        <item x="285"/>
        <item x="286"/>
        <item x="287"/>
        <item x="775"/>
        <item x="776"/>
        <item x="288"/>
        <item x="289"/>
        <item x="777"/>
        <item x="778"/>
        <item x="779"/>
        <item x="780"/>
        <item x="290"/>
        <item x="781"/>
        <item x="291"/>
        <item x="292"/>
        <item x="293"/>
        <item x="782"/>
        <item x="294"/>
        <item x="783"/>
        <item x="295"/>
        <item x="784"/>
        <item x="785"/>
        <item x="296"/>
        <item x="786"/>
        <item x="787"/>
        <item x="788"/>
        <item x="789"/>
        <item x="297"/>
        <item x="298"/>
        <item x="299"/>
        <item x="790"/>
        <item x="300"/>
        <item x="301"/>
        <item x="302"/>
        <item x="791"/>
        <item x="792"/>
        <item x="303"/>
        <item x="793"/>
        <item x="794"/>
        <item x="304"/>
        <item x="305"/>
        <item x="795"/>
        <item x="306"/>
        <item x="796"/>
        <item x="797"/>
        <item x="307"/>
        <item x="308"/>
        <item x="798"/>
        <item x="799"/>
        <item x="800"/>
        <item x="309"/>
        <item x="801"/>
        <item x="802"/>
        <item x="803"/>
        <item x="804"/>
        <item x="805"/>
        <item x="806"/>
        <item x="310"/>
        <item x="807"/>
        <item x="808"/>
        <item x="311"/>
        <item x="312"/>
        <item x="809"/>
        <item x="313"/>
        <item x="810"/>
        <item x="314"/>
        <item x="811"/>
        <item x="812"/>
        <item x="813"/>
        <item x="814"/>
        <item x="815"/>
        <item x="816"/>
        <item x="315"/>
        <item x="817"/>
        <item x="818"/>
        <item x="316"/>
        <item x="819"/>
        <item x="820"/>
        <item x="821"/>
        <item x="317"/>
        <item x="822"/>
        <item x="823"/>
        <item x="824"/>
        <item x="825"/>
        <item x="826"/>
        <item x="827"/>
        <item x="828"/>
        <item x="829"/>
        <item x="830"/>
        <item x="318"/>
        <item x="319"/>
        <item x="831"/>
        <item x="832"/>
        <item x="320"/>
        <item x="833"/>
        <item x="834"/>
        <item x="321"/>
        <item x="322"/>
        <item x="323"/>
        <item x="835"/>
        <item x="836"/>
        <item x="324"/>
        <item x="837"/>
        <item x="838"/>
        <item x="839"/>
        <item x="840"/>
        <item x="841"/>
        <item x="325"/>
        <item x="326"/>
        <item x="842"/>
        <item x="843"/>
        <item x="844"/>
        <item x="845"/>
        <item x="846"/>
        <item x="847"/>
        <item x="848"/>
        <item x="327"/>
        <item x="849"/>
        <item x="850"/>
        <item x="328"/>
        <item x="851"/>
        <item x="329"/>
        <item x="852"/>
        <item x="853"/>
        <item x="854"/>
        <item x="855"/>
        <item x="330"/>
        <item x="331"/>
        <item x="856"/>
        <item x="857"/>
        <item x="858"/>
        <item x="859"/>
        <item x="860"/>
        <item x="861"/>
        <item x="332"/>
        <item x="333"/>
        <item x="862"/>
        <item x="334"/>
        <item x="335"/>
        <item x="863"/>
        <item x="336"/>
        <item x="864"/>
        <item x="337"/>
        <item x="338"/>
        <item x="865"/>
        <item x="866"/>
        <item x="867"/>
        <item x="339"/>
        <item x="868"/>
        <item x="869"/>
        <item x="870"/>
        <item x="871"/>
        <item x="340"/>
        <item x="872"/>
        <item x="873"/>
        <item x="874"/>
        <item x="341"/>
        <item x="342"/>
        <item x="875"/>
        <item x="876"/>
        <item x="343"/>
        <item x="877"/>
        <item x="878"/>
        <item x="344"/>
        <item x="345"/>
        <item x="879"/>
        <item x="880"/>
        <item x="346"/>
        <item x="881"/>
        <item x="882"/>
        <item x="347"/>
        <item x="348"/>
        <item x="883"/>
        <item x="884"/>
        <item x="349"/>
        <item x="885"/>
        <item x="886"/>
        <item x="887"/>
        <item x="888"/>
        <item x="889"/>
        <item x="890"/>
        <item x="891"/>
        <item x="892"/>
        <item x="350"/>
        <item x="893"/>
        <item x="351"/>
        <item x="352"/>
        <item x="894"/>
        <item x="895"/>
        <item x="353"/>
        <item x="896"/>
        <item x="897"/>
        <item x="898"/>
        <item x="899"/>
        <item x="354"/>
        <item x="900"/>
        <item x="901"/>
        <item x="902"/>
        <item x="903"/>
        <item x="904"/>
        <item x="905"/>
        <item x="906"/>
        <item x="355"/>
        <item x="356"/>
        <item x="357"/>
        <item x="907"/>
        <item x="358"/>
        <item x="908"/>
        <item x="909"/>
        <item x="910"/>
        <item x="359"/>
        <item x="360"/>
        <item x="911"/>
        <item x="361"/>
        <item x="362"/>
        <item x="912"/>
        <item x="913"/>
        <item x="914"/>
        <item x="915"/>
        <item x="363"/>
        <item x="916"/>
        <item x="917"/>
        <item x="364"/>
        <item x="365"/>
        <item x="366"/>
        <item x="918"/>
        <item x="367"/>
        <item x="919"/>
        <item x="368"/>
        <item x="369"/>
        <item x="920"/>
        <item x="370"/>
        <item x="921"/>
        <item x="922"/>
        <item x="923"/>
        <item x="924"/>
        <item x="925"/>
        <item x="371"/>
        <item x="372"/>
        <item x="926"/>
        <item x="927"/>
        <item x="373"/>
        <item x="928"/>
        <item x="929"/>
        <item x="374"/>
        <item x="375"/>
        <item x="376"/>
        <item x="930"/>
        <item x="377"/>
        <item x="378"/>
        <item x="931"/>
        <item x="379"/>
        <item x="932"/>
        <item x="933"/>
        <item x="934"/>
        <item x="380"/>
        <item x="381"/>
        <item x="382"/>
        <item x="935"/>
        <item x="383"/>
        <item x="936"/>
        <item x="384"/>
        <item x="385"/>
        <item x="386"/>
        <item x="937"/>
        <item x="387"/>
        <item x="938"/>
        <item x="939"/>
        <item x="940"/>
        <item x="941"/>
        <item x="942"/>
        <item x="943"/>
        <item x="944"/>
        <item x="945"/>
        <item x="388"/>
        <item x="389"/>
        <item x="946"/>
        <item x="390"/>
        <item x="947"/>
        <item x="391"/>
        <item x="392"/>
        <item x="393"/>
        <item x="948"/>
        <item x="394"/>
        <item t="default"/>
      </items>
    </pivotField>
    <pivotField numFmtId="165" showAll="0"/>
    <pivotField numFmtId="166" showAll="0"/>
    <pivotField showAll="0">
      <items count="14">
        <item x="8"/>
        <item x="6"/>
        <item x="12"/>
        <item x="2"/>
        <item x="0"/>
        <item x="5"/>
        <item x="1"/>
        <item x="7"/>
        <item x="9"/>
        <item x="3"/>
        <item x="10"/>
        <item x="11"/>
        <item x="4"/>
        <item t="default"/>
      </items>
    </pivotField>
    <pivotField showAll="0">
      <items count="142">
        <item x="30"/>
        <item x="17"/>
        <item x="121"/>
        <item x="34"/>
        <item x="45"/>
        <item x="113"/>
        <item x="74"/>
        <item x="136"/>
        <item x="131"/>
        <item x="8"/>
        <item x="4"/>
        <item x="93"/>
        <item x="118"/>
        <item x="130"/>
        <item x="48"/>
        <item x="101"/>
        <item x="124"/>
        <item x="64"/>
        <item x="79"/>
        <item x="68"/>
        <item x="25"/>
        <item x="6"/>
        <item x="116"/>
        <item x="135"/>
        <item x="22"/>
        <item x="77"/>
        <item x="43"/>
        <item x="5"/>
        <item x="137"/>
        <item x="86"/>
        <item x="55"/>
        <item x="1"/>
        <item x="80"/>
        <item x="67"/>
        <item x="58"/>
        <item x="122"/>
        <item x="78"/>
        <item x="127"/>
        <item x="12"/>
        <item x="128"/>
        <item x="96"/>
        <item x="62"/>
        <item x="82"/>
        <item x="126"/>
        <item x="44"/>
        <item x="66"/>
        <item x="40"/>
        <item x="99"/>
        <item x="94"/>
        <item x="53"/>
        <item x="119"/>
        <item x="9"/>
        <item x="20"/>
        <item x="36"/>
        <item x="15"/>
        <item x="85"/>
        <item x="63"/>
        <item x="56"/>
        <item x="92"/>
        <item x="75"/>
        <item x="47"/>
        <item x="39"/>
        <item x="120"/>
        <item x="23"/>
        <item x="60"/>
        <item x="70"/>
        <item x="13"/>
        <item x="3"/>
        <item x="111"/>
        <item x="103"/>
        <item x="84"/>
        <item x="73"/>
        <item x="76"/>
        <item x="14"/>
        <item x="125"/>
        <item x="18"/>
        <item x="28"/>
        <item x="41"/>
        <item x="138"/>
        <item x="46"/>
        <item x="133"/>
        <item x="0"/>
        <item x="57"/>
        <item x="100"/>
        <item x="38"/>
        <item x="24"/>
        <item x="88"/>
        <item x="42"/>
        <item x="107"/>
        <item x="110"/>
        <item x="109"/>
        <item x="71"/>
        <item x="104"/>
        <item x="10"/>
        <item x="105"/>
        <item x="89"/>
        <item x="61"/>
        <item x="90"/>
        <item x="132"/>
        <item x="51"/>
        <item x="11"/>
        <item x="50"/>
        <item x="59"/>
        <item x="95"/>
        <item x="32"/>
        <item x="54"/>
        <item x="139"/>
        <item x="102"/>
        <item x="123"/>
        <item x="134"/>
        <item x="31"/>
        <item x="140"/>
        <item x="81"/>
        <item x="108"/>
        <item x="7"/>
        <item x="16"/>
        <item x="91"/>
        <item x="87"/>
        <item x="106"/>
        <item x="21"/>
        <item x="129"/>
        <item x="26"/>
        <item x="97"/>
        <item x="65"/>
        <item x="19"/>
        <item x="49"/>
        <item x="2"/>
        <item x="52"/>
        <item x="29"/>
        <item x="117"/>
        <item x="37"/>
        <item x="72"/>
        <item x="115"/>
        <item x="114"/>
        <item x="27"/>
        <item x="83"/>
        <item x="33"/>
        <item x="112"/>
        <item x="98"/>
        <item x="35"/>
        <item x="69"/>
        <item t="default"/>
      </items>
    </pivotField>
    <pivotField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Fields count="1">
    <field x="2"/>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Count of EEID" fld="0" subtotal="count" baseField="0" baseItem="0"/>
  </dataFields>
  <chartFormats count="70">
    <chartFormat chart="0" format="0" series="1">
      <pivotArea type="data" outline="0" fieldPosition="0">
        <references count="1">
          <reference field="4294967294" count="1" selected="0">
            <x v="0"/>
          </reference>
        </references>
      </pivotArea>
    </chartFormat>
    <chartFormat chart="4" format="36" series="1">
      <pivotArea type="data" outline="0" fieldPosition="0">
        <references count="1">
          <reference field="4294967294" count="1" selected="0">
            <x v="0"/>
          </reference>
        </references>
      </pivotArea>
    </chartFormat>
    <chartFormat chart="4" format="37">
      <pivotArea type="data" outline="0" fieldPosition="0">
        <references count="2">
          <reference field="4294967294" count="1" selected="0">
            <x v="0"/>
          </reference>
          <reference field="2" count="1" selected="0">
            <x v="0"/>
          </reference>
        </references>
      </pivotArea>
    </chartFormat>
    <chartFormat chart="4" format="38">
      <pivotArea type="data" outline="0" fieldPosition="0">
        <references count="2">
          <reference field="4294967294" count="1" selected="0">
            <x v="0"/>
          </reference>
          <reference field="2" count="1" selected="0">
            <x v="1"/>
          </reference>
        </references>
      </pivotArea>
    </chartFormat>
    <chartFormat chart="4" format="39">
      <pivotArea type="data" outline="0" fieldPosition="0">
        <references count="2">
          <reference field="4294967294" count="1" selected="0">
            <x v="0"/>
          </reference>
          <reference field="2" count="1" selected="0">
            <x v="2"/>
          </reference>
        </references>
      </pivotArea>
    </chartFormat>
    <chartFormat chart="4" format="40">
      <pivotArea type="data" outline="0" fieldPosition="0">
        <references count="2">
          <reference field="4294967294" count="1" selected="0">
            <x v="0"/>
          </reference>
          <reference field="2" count="1" selected="0">
            <x v="3"/>
          </reference>
        </references>
      </pivotArea>
    </chartFormat>
    <chartFormat chart="4" format="41">
      <pivotArea type="data" outline="0" fieldPosition="0">
        <references count="2">
          <reference field="4294967294" count="1" selected="0">
            <x v="0"/>
          </reference>
          <reference field="2" count="1" selected="0">
            <x v="4"/>
          </reference>
        </references>
      </pivotArea>
    </chartFormat>
    <chartFormat chart="4" format="42">
      <pivotArea type="data" outline="0" fieldPosition="0">
        <references count="2">
          <reference field="4294967294" count="1" selected="0">
            <x v="0"/>
          </reference>
          <reference field="2" count="1" selected="0">
            <x v="5"/>
          </reference>
        </references>
      </pivotArea>
    </chartFormat>
    <chartFormat chart="4" format="43">
      <pivotArea type="data" outline="0" fieldPosition="0">
        <references count="2">
          <reference field="4294967294" count="1" selected="0">
            <x v="0"/>
          </reference>
          <reference field="2" count="1" selected="0">
            <x v="6"/>
          </reference>
        </references>
      </pivotArea>
    </chartFormat>
    <chartFormat chart="4" format="44">
      <pivotArea type="data" outline="0" fieldPosition="0">
        <references count="2">
          <reference field="4294967294" count="1" selected="0">
            <x v="0"/>
          </reference>
          <reference field="2" count="1" selected="0">
            <x v="7"/>
          </reference>
        </references>
      </pivotArea>
    </chartFormat>
    <chartFormat chart="4" format="45">
      <pivotArea type="data" outline="0" fieldPosition="0">
        <references count="2">
          <reference field="4294967294" count="1" selected="0">
            <x v="0"/>
          </reference>
          <reference field="2" count="1" selected="0">
            <x v="8"/>
          </reference>
        </references>
      </pivotArea>
    </chartFormat>
    <chartFormat chart="4" format="46">
      <pivotArea type="data" outline="0" fieldPosition="0">
        <references count="2">
          <reference field="4294967294" count="1" selected="0">
            <x v="0"/>
          </reference>
          <reference field="2" count="1" selected="0">
            <x v="9"/>
          </reference>
        </references>
      </pivotArea>
    </chartFormat>
    <chartFormat chart="4" format="47">
      <pivotArea type="data" outline="0" fieldPosition="0">
        <references count="2">
          <reference field="4294967294" count="1" selected="0">
            <x v="0"/>
          </reference>
          <reference field="2" count="1" selected="0">
            <x v="10"/>
          </reference>
        </references>
      </pivotArea>
    </chartFormat>
    <chartFormat chart="4" format="48">
      <pivotArea type="data" outline="0" fieldPosition="0">
        <references count="2">
          <reference field="4294967294" count="1" selected="0">
            <x v="0"/>
          </reference>
          <reference field="2" count="1" selected="0">
            <x v="11"/>
          </reference>
        </references>
      </pivotArea>
    </chartFormat>
    <chartFormat chart="4" format="49">
      <pivotArea type="data" outline="0" fieldPosition="0">
        <references count="2">
          <reference field="4294967294" count="1" selected="0">
            <x v="0"/>
          </reference>
          <reference field="2" count="1" selected="0">
            <x v="12"/>
          </reference>
        </references>
      </pivotArea>
    </chartFormat>
    <chartFormat chart="4" format="50">
      <pivotArea type="data" outline="0" fieldPosition="0">
        <references count="2">
          <reference field="4294967294" count="1" selected="0">
            <x v="0"/>
          </reference>
          <reference field="2" count="1" selected="0">
            <x v="13"/>
          </reference>
        </references>
      </pivotArea>
    </chartFormat>
    <chartFormat chart="4" format="51">
      <pivotArea type="data" outline="0" fieldPosition="0">
        <references count="2">
          <reference field="4294967294" count="1" selected="0">
            <x v="0"/>
          </reference>
          <reference field="2" count="1" selected="0">
            <x v="14"/>
          </reference>
        </references>
      </pivotArea>
    </chartFormat>
    <chartFormat chart="4" format="52">
      <pivotArea type="data" outline="0" fieldPosition="0">
        <references count="2">
          <reference field="4294967294" count="1" selected="0">
            <x v="0"/>
          </reference>
          <reference field="2" count="1" selected="0">
            <x v="15"/>
          </reference>
        </references>
      </pivotArea>
    </chartFormat>
    <chartFormat chart="4" format="53">
      <pivotArea type="data" outline="0" fieldPosition="0">
        <references count="2">
          <reference field="4294967294" count="1" selected="0">
            <x v="0"/>
          </reference>
          <reference field="2" count="1" selected="0">
            <x v="16"/>
          </reference>
        </references>
      </pivotArea>
    </chartFormat>
    <chartFormat chart="4" format="54">
      <pivotArea type="data" outline="0" fieldPosition="0">
        <references count="2">
          <reference field="4294967294" count="1" selected="0">
            <x v="0"/>
          </reference>
          <reference field="2" count="1" selected="0">
            <x v="17"/>
          </reference>
        </references>
      </pivotArea>
    </chartFormat>
    <chartFormat chart="4" format="55">
      <pivotArea type="data" outline="0" fieldPosition="0">
        <references count="2">
          <reference field="4294967294" count="1" selected="0">
            <x v="0"/>
          </reference>
          <reference field="2" count="1" selected="0">
            <x v="18"/>
          </reference>
        </references>
      </pivotArea>
    </chartFormat>
    <chartFormat chart="4" format="56">
      <pivotArea type="data" outline="0" fieldPosition="0">
        <references count="2">
          <reference field="4294967294" count="1" selected="0">
            <x v="0"/>
          </reference>
          <reference field="2" count="1" selected="0">
            <x v="19"/>
          </reference>
        </references>
      </pivotArea>
    </chartFormat>
    <chartFormat chart="4" format="57">
      <pivotArea type="data" outline="0" fieldPosition="0">
        <references count="2">
          <reference field="4294967294" count="1" selected="0">
            <x v="0"/>
          </reference>
          <reference field="2" count="1" selected="0">
            <x v="20"/>
          </reference>
        </references>
      </pivotArea>
    </chartFormat>
    <chartFormat chart="4" format="58">
      <pivotArea type="data" outline="0" fieldPosition="0">
        <references count="2">
          <reference field="4294967294" count="1" selected="0">
            <x v="0"/>
          </reference>
          <reference field="2" count="1" selected="0">
            <x v="21"/>
          </reference>
        </references>
      </pivotArea>
    </chartFormat>
    <chartFormat chart="4" format="59">
      <pivotArea type="data" outline="0" fieldPosition="0">
        <references count="2">
          <reference field="4294967294" count="1" selected="0">
            <x v="0"/>
          </reference>
          <reference field="2" count="1" selected="0">
            <x v="22"/>
          </reference>
        </references>
      </pivotArea>
    </chartFormat>
    <chartFormat chart="4" format="60">
      <pivotArea type="data" outline="0" fieldPosition="0">
        <references count="2">
          <reference field="4294967294" count="1" selected="0">
            <x v="0"/>
          </reference>
          <reference field="2" count="1" selected="0">
            <x v="23"/>
          </reference>
        </references>
      </pivotArea>
    </chartFormat>
    <chartFormat chart="4" format="61">
      <pivotArea type="data" outline="0" fieldPosition="0">
        <references count="2">
          <reference field="4294967294" count="1" selected="0">
            <x v="0"/>
          </reference>
          <reference field="2" count="1" selected="0">
            <x v="24"/>
          </reference>
        </references>
      </pivotArea>
    </chartFormat>
    <chartFormat chart="4" format="62">
      <pivotArea type="data" outline="0" fieldPosition="0">
        <references count="2">
          <reference field="4294967294" count="1" selected="0">
            <x v="0"/>
          </reference>
          <reference field="2" count="1" selected="0">
            <x v="25"/>
          </reference>
        </references>
      </pivotArea>
    </chartFormat>
    <chartFormat chart="4" format="63">
      <pivotArea type="data" outline="0" fieldPosition="0">
        <references count="2">
          <reference field="4294967294" count="1" selected="0">
            <x v="0"/>
          </reference>
          <reference field="2" count="1" selected="0">
            <x v="26"/>
          </reference>
        </references>
      </pivotArea>
    </chartFormat>
    <chartFormat chart="4" format="64">
      <pivotArea type="data" outline="0" fieldPosition="0">
        <references count="2">
          <reference field="4294967294" count="1" selected="0">
            <x v="0"/>
          </reference>
          <reference field="2" count="1" selected="0">
            <x v="27"/>
          </reference>
        </references>
      </pivotArea>
    </chartFormat>
    <chartFormat chart="4" format="65">
      <pivotArea type="data" outline="0" fieldPosition="0">
        <references count="2">
          <reference field="4294967294" count="1" selected="0">
            <x v="0"/>
          </reference>
          <reference field="2" count="1" selected="0">
            <x v="28"/>
          </reference>
        </references>
      </pivotArea>
    </chartFormat>
    <chartFormat chart="4" format="66">
      <pivotArea type="data" outline="0" fieldPosition="0">
        <references count="2">
          <reference field="4294967294" count="1" selected="0">
            <x v="0"/>
          </reference>
          <reference field="2" count="1" selected="0">
            <x v="29"/>
          </reference>
        </references>
      </pivotArea>
    </chartFormat>
    <chartFormat chart="4" format="67">
      <pivotArea type="data" outline="0" fieldPosition="0">
        <references count="2">
          <reference field="4294967294" count="1" selected="0">
            <x v="0"/>
          </reference>
          <reference field="2" count="1" selected="0">
            <x v="30"/>
          </reference>
        </references>
      </pivotArea>
    </chartFormat>
    <chartFormat chart="4" format="68">
      <pivotArea type="data" outline="0" fieldPosition="0">
        <references count="2">
          <reference field="4294967294" count="1" selected="0">
            <x v="0"/>
          </reference>
          <reference field="2" count="1" selected="0">
            <x v="31"/>
          </reference>
        </references>
      </pivotArea>
    </chartFormat>
    <chartFormat chart="4" format="69">
      <pivotArea type="data" outline="0" fieldPosition="0">
        <references count="2">
          <reference field="4294967294" count="1" selected="0">
            <x v="0"/>
          </reference>
          <reference field="2" count="1" selected="0">
            <x v="32"/>
          </reference>
        </references>
      </pivotArea>
    </chartFormat>
    <chartFormat chart="4" format="70">
      <pivotArea type="data" outline="0" fieldPosition="0">
        <references count="2">
          <reference field="4294967294" count="1" selected="0">
            <x v="0"/>
          </reference>
          <reference field="2" count="1" selected="0">
            <x v="33"/>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 chart="0" format="8">
      <pivotArea type="data" outline="0" fieldPosition="0">
        <references count="2">
          <reference field="4294967294" count="1" selected="0">
            <x v="0"/>
          </reference>
          <reference field="2" count="1" selected="0">
            <x v="7"/>
          </reference>
        </references>
      </pivotArea>
    </chartFormat>
    <chartFormat chart="0" format="9">
      <pivotArea type="data" outline="0" fieldPosition="0">
        <references count="2">
          <reference field="4294967294" count="1" selected="0">
            <x v="0"/>
          </reference>
          <reference field="2" count="1" selected="0">
            <x v="8"/>
          </reference>
        </references>
      </pivotArea>
    </chartFormat>
    <chartFormat chart="0" format="10">
      <pivotArea type="data" outline="0" fieldPosition="0">
        <references count="2">
          <reference field="4294967294" count="1" selected="0">
            <x v="0"/>
          </reference>
          <reference field="2" count="1" selected="0">
            <x v="9"/>
          </reference>
        </references>
      </pivotArea>
    </chartFormat>
    <chartFormat chart="0" format="11">
      <pivotArea type="data" outline="0" fieldPosition="0">
        <references count="2">
          <reference field="4294967294" count="1" selected="0">
            <x v="0"/>
          </reference>
          <reference field="2" count="1" selected="0">
            <x v="10"/>
          </reference>
        </references>
      </pivotArea>
    </chartFormat>
    <chartFormat chart="0" format="12">
      <pivotArea type="data" outline="0" fieldPosition="0">
        <references count="2">
          <reference field="4294967294" count="1" selected="0">
            <x v="0"/>
          </reference>
          <reference field="2" count="1" selected="0">
            <x v="11"/>
          </reference>
        </references>
      </pivotArea>
    </chartFormat>
    <chartFormat chart="0" format="13">
      <pivotArea type="data" outline="0" fieldPosition="0">
        <references count="2">
          <reference field="4294967294" count="1" selected="0">
            <x v="0"/>
          </reference>
          <reference field="2" count="1" selected="0">
            <x v="12"/>
          </reference>
        </references>
      </pivotArea>
    </chartFormat>
    <chartFormat chart="0" format="14">
      <pivotArea type="data" outline="0" fieldPosition="0">
        <references count="2">
          <reference field="4294967294" count="1" selected="0">
            <x v="0"/>
          </reference>
          <reference field="2" count="1" selected="0">
            <x v="13"/>
          </reference>
        </references>
      </pivotArea>
    </chartFormat>
    <chartFormat chart="0" format="15">
      <pivotArea type="data" outline="0" fieldPosition="0">
        <references count="2">
          <reference field="4294967294" count="1" selected="0">
            <x v="0"/>
          </reference>
          <reference field="2" count="1" selected="0">
            <x v="14"/>
          </reference>
        </references>
      </pivotArea>
    </chartFormat>
    <chartFormat chart="0" format="16">
      <pivotArea type="data" outline="0" fieldPosition="0">
        <references count="2">
          <reference field="4294967294" count="1" selected="0">
            <x v="0"/>
          </reference>
          <reference field="2" count="1" selected="0">
            <x v="15"/>
          </reference>
        </references>
      </pivotArea>
    </chartFormat>
    <chartFormat chart="0" format="17">
      <pivotArea type="data" outline="0" fieldPosition="0">
        <references count="2">
          <reference field="4294967294" count="1" selected="0">
            <x v="0"/>
          </reference>
          <reference field="2" count="1" selected="0">
            <x v="16"/>
          </reference>
        </references>
      </pivotArea>
    </chartFormat>
    <chartFormat chart="0" format="18">
      <pivotArea type="data" outline="0" fieldPosition="0">
        <references count="2">
          <reference field="4294967294" count="1" selected="0">
            <x v="0"/>
          </reference>
          <reference field="2" count="1" selected="0">
            <x v="17"/>
          </reference>
        </references>
      </pivotArea>
    </chartFormat>
    <chartFormat chart="0" format="19">
      <pivotArea type="data" outline="0" fieldPosition="0">
        <references count="2">
          <reference field="4294967294" count="1" selected="0">
            <x v="0"/>
          </reference>
          <reference field="2" count="1" selected="0">
            <x v="18"/>
          </reference>
        </references>
      </pivotArea>
    </chartFormat>
    <chartFormat chart="0" format="20">
      <pivotArea type="data" outline="0" fieldPosition="0">
        <references count="2">
          <reference field="4294967294" count="1" selected="0">
            <x v="0"/>
          </reference>
          <reference field="2" count="1" selected="0">
            <x v="19"/>
          </reference>
        </references>
      </pivotArea>
    </chartFormat>
    <chartFormat chart="0" format="21">
      <pivotArea type="data" outline="0" fieldPosition="0">
        <references count="2">
          <reference field="4294967294" count="1" selected="0">
            <x v="0"/>
          </reference>
          <reference field="2" count="1" selected="0">
            <x v="20"/>
          </reference>
        </references>
      </pivotArea>
    </chartFormat>
    <chartFormat chart="0" format="22">
      <pivotArea type="data" outline="0" fieldPosition="0">
        <references count="2">
          <reference field="4294967294" count="1" selected="0">
            <x v="0"/>
          </reference>
          <reference field="2" count="1" selected="0">
            <x v="21"/>
          </reference>
        </references>
      </pivotArea>
    </chartFormat>
    <chartFormat chart="0" format="23">
      <pivotArea type="data" outline="0" fieldPosition="0">
        <references count="2">
          <reference field="4294967294" count="1" selected="0">
            <x v="0"/>
          </reference>
          <reference field="2" count="1" selected="0">
            <x v="22"/>
          </reference>
        </references>
      </pivotArea>
    </chartFormat>
    <chartFormat chart="0" format="24">
      <pivotArea type="data" outline="0" fieldPosition="0">
        <references count="2">
          <reference field="4294967294" count="1" selected="0">
            <x v="0"/>
          </reference>
          <reference field="2" count="1" selected="0">
            <x v="23"/>
          </reference>
        </references>
      </pivotArea>
    </chartFormat>
    <chartFormat chart="0" format="25">
      <pivotArea type="data" outline="0" fieldPosition="0">
        <references count="2">
          <reference field="4294967294" count="1" selected="0">
            <x v="0"/>
          </reference>
          <reference field="2" count="1" selected="0">
            <x v="24"/>
          </reference>
        </references>
      </pivotArea>
    </chartFormat>
    <chartFormat chart="0" format="26">
      <pivotArea type="data" outline="0" fieldPosition="0">
        <references count="2">
          <reference field="4294967294" count="1" selected="0">
            <x v="0"/>
          </reference>
          <reference field="2" count="1" selected="0">
            <x v="25"/>
          </reference>
        </references>
      </pivotArea>
    </chartFormat>
    <chartFormat chart="0" format="27">
      <pivotArea type="data" outline="0" fieldPosition="0">
        <references count="2">
          <reference field="4294967294" count="1" selected="0">
            <x v="0"/>
          </reference>
          <reference field="2" count="1" selected="0">
            <x v="26"/>
          </reference>
        </references>
      </pivotArea>
    </chartFormat>
    <chartFormat chart="0" format="28">
      <pivotArea type="data" outline="0" fieldPosition="0">
        <references count="2">
          <reference field="4294967294" count="1" selected="0">
            <x v="0"/>
          </reference>
          <reference field="2" count="1" selected="0">
            <x v="27"/>
          </reference>
        </references>
      </pivotArea>
    </chartFormat>
    <chartFormat chart="0" format="29">
      <pivotArea type="data" outline="0" fieldPosition="0">
        <references count="2">
          <reference field="4294967294" count="1" selected="0">
            <x v="0"/>
          </reference>
          <reference field="2" count="1" selected="0">
            <x v="28"/>
          </reference>
        </references>
      </pivotArea>
    </chartFormat>
    <chartFormat chart="0" format="30">
      <pivotArea type="data" outline="0" fieldPosition="0">
        <references count="2">
          <reference field="4294967294" count="1" selected="0">
            <x v="0"/>
          </reference>
          <reference field="2" count="1" selected="0">
            <x v="29"/>
          </reference>
        </references>
      </pivotArea>
    </chartFormat>
    <chartFormat chart="0" format="31">
      <pivotArea type="data" outline="0" fieldPosition="0">
        <references count="2">
          <reference field="4294967294" count="1" selected="0">
            <x v="0"/>
          </reference>
          <reference field="2" count="1" selected="0">
            <x v="30"/>
          </reference>
        </references>
      </pivotArea>
    </chartFormat>
    <chartFormat chart="0" format="32">
      <pivotArea type="data" outline="0" fieldPosition="0">
        <references count="2">
          <reference field="4294967294" count="1" selected="0">
            <x v="0"/>
          </reference>
          <reference field="2" count="1" selected="0">
            <x v="31"/>
          </reference>
        </references>
      </pivotArea>
    </chartFormat>
    <chartFormat chart="0" format="33">
      <pivotArea type="data" outline="0" fieldPosition="0">
        <references count="2">
          <reference field="4294967294" count="1" selected="0">
            <x v="0"/>
          </reference>
          <reference field="2" count="1" selected="0">
            <x v="32"/>
          </reference>
        </references>
      </pivotArea>
    </chartFormat>
    <chartFormat chart="0" format="34">
      <pivotArea type="data" outline="0" fieldPosition="0">
        <references count="2">
          <reference field="4294967294" count="1" selected="0">
            <x v="0"/>
          </reference>
          <reference field="2" count="1" selected="0">
            <x v="3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16BD57-DD1C-43FB-A697-074D39D27A3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9" firstHeaderRow="1" firstDataRow="2" firstDataCol="1" rowPageCount="1" colPageCount="1"/>
  <pivotFields count="18">
    <pivotField dataField="1" showAll="0"/>
    <pivotField showAll="0"/>
    <pivotField showAll="0"/>
    <pivotField showAll="0"/>
    <pivotField axis="axisRow" showAll="0">
      <items count="5">
        <item x="1"/>
        <item x="2"/>
        <item x="0"/>
        <item x="3"/>
        <item t="default"/>
      </items>
    </pivotField>
    <pivotField axis="axisCol" showAll="0">
      <items count="3">
        <item x="1"/>
        <item x="0"/>
        <item t="default"/>
      </items>
    </pivotField>
    <pivotField showAll="0"/>
    <pivotField showAll="0"/>
    <pivotField showAll="0"/>
    <pivotField numFmtId="14" showAll="0">
      <items count="950">
        <item x="0"/>
        <item x="1"/>
        <item x="395"/>
        <item x="396"/>
        <item x="2"/>
        <item x="397"/>
        <item x="398"/>
        <item x="399"/>
        <item x="3"/>
        <item x="400"/>
        <item x="401"/>
        <item x="402"/>
        <item x="403"/>
        <item x="404"/>
        <item x="405"/>
        <item x="4"/>
        <item x="5"/>
        <item x="406"/>
        <item x="6"/>
        <item x="407"/>
        <item x="408"/>
        <item x="7"/>
        <item x="409"/>
        <item x="410"/>
        <item x="411"/>
        <item x="412"/>
        <item x="8"/>
        <item x="413"/>
        <item x="414"/>
        <item x="9"/>
        <item x="10"/>
        <item x="415"/>
        <item x="416"/>
        <item x="11"/>
        <item x="12"/>
        <item x="417"/>
        <item x="13"/>
        <item x="418"/>
        <item x="419"/>
        <item x="420"/>
        <item x="14"/>
        <item x="421"/>
        <item x="422"/>
        <item x="15"/>
        <item x="423"/>
        <item x="16"/>
        <item x="424"/>
        <item x="17"/>
        <item x="18"/>
        <item x="19"/>
        <item x="425"/>
        <item x="20"/>
        <item x="21"/>
        <item x="22"/>
        <item x="426"/>
        <item x="427"/>
        <item x="428"/>
        <item x="23"/>
        <item x="429"/>
        <item x="430"/>
        <item x="24"/>
        <item x="431"/>
        <item x="432"/>
        <item x="433"/>
        <item x="434"/>
        <item x="435"/>
        <item x="25"/>
        <item x="436"/>
        <item x="437"/>
        <item x="26"/>
        <item x="438"/>
        <item x="439"/>
        <item x="27"/>
        <item x="440"/>
        <item x="28"/>
        <item x="29"/>
        <item x="441"/>
        <item x="442"/>
        <item x="443"/>
        <item x="30"/>
        <item x="31"/>
        <item x="444"/>
        <item x="445"/>
        <item x="446"/>
        <item x="447"/>
        <item x="32"/>
        <item x="33"/>
        <item x="34"/>
        <item x="448"/>
        <item x="35"/>
        <item x="449"/>
        <item x="450"/>
        <item x="36"/>
        <item x="37"/>
        <item x="38"/>
        <item x="451"/>
        <item x="452"/>
        <item x="39"/>
        <item x="453"/>
        <item x="40"/>
        <item x="41"/>
        <item x="454"/>
        <item x="42"/>
        <item x="43"/>
        <item x="455"/>
        <item x="456"/>
        <item x="44"/>
        <item x="45"/>
        <item x="46"/>
        <item x="457"/>
        <item x="47"/>
        <item x="48"/>
        <item x="458"/>
        <item x="49"/>
        <item x="459"/>
        <item x="50"/>
        <item x="51"/>
        <item x="460"/>
        <item x="461"/>
        <item x="52"/>
        <item x="53"/>
        <item x="462"/>
        <item x="463"/>
        <item x="54"/>
        <item x="464"/>
        <item x="55"/>
        <item x="465"/>
        <item x="56"/>
        <item x="466"/>
        <item x="467"/>
        <item x="468"/>
        <item x="57"/>
        <item x="58"/>
        <item x="469"/>
        <item x="470"/>
        <item x="59"/>
        <item x="471"/>
        <item x="60"/>
        <item x="61"/>
        <item x="62"/>
        <item x="63"/>
        <item x="472"/>
        <item x="64"/>
        <item x="473"/>
        <item x="474"/>
        <item x="475"/>
        <item x="65"/>
        <item x="66"/>
        <item x="67"/>
        <item x="68"/>
        <item x="69"/>
        <item x="476"/>
        <item x="477"/>
        <item x="70"/>
        <item x="478"/>
        <item x="479"/>
        <item x="71"/>
        <item x="72"/>
        <item x="480"/>
        <item x="481"/>
        <item x="482"/>
        <item x="73"/>
        <item x="74"/>
        <item x="75"/>
        <item x="76"/>
        <item x="77"/>
        <item x="78"/>
        <item x="483"/>
        <item x="79"/>
        <item x="484"/>
        <item x="80"/>
        <item x="485"/>
        <item x="486"/>
        <item x="487"/>
        <item x="81"/>
        <item x="82"/>
        <item x="488"/>
        <item x="489"/>
        <item x="490"/>
        <item x="491"/>
        <item x="492"/>
        <item x="493"/>
        <item x="494"/>
        <item x="495"/>
        <item x="496"/>
        <item x="83"/>
        <item x="497"/>
        <item x="84"/>
        <item x="498"/>
        <item x="85"/>
        <item x="499"/>
        <item x="86"/>
        <item x="500"/>
        <item x="87"/>
        <item x="501"/>
        <item x="502"/>
        <item x="503"/>
        <item x="88"/>
        <item x="504"/>
        <item x="505"/>
        <item x="89"/>
        <item x="90"/>
        <item x="506"/>
        <item x="91"/>
        <item x="507"/>
        <item x="508"/>
        <item x="509"/>
        <item x="92"/>
        <item x="510"/>
        <item x="511"/>
        <item x="93"/>
        <item x="512"/>
        <item x="513"/>
        <item x="514"/>
        <item x="94"/>
        <item x="515"/>
        <item x="95"/>
        <item x="516"/>
        <item x="517"/>
        <item x="96"/>
        <item x="518"/>
        <item x="97"/>
        <item x="519"/>
        <item x="98"/>
        <item x="99"/>
        <item x="100"/>
        <item x="520"/>
        <item x="521"/>
        <item x="522"/>
        <item x="101"/>
        <item x="523"/>
        <item x="524"/>
        <item x="525"/>
        <item x="526"/>
        <item x="102"/>
        <item x="527"/>
        <item x="528"/>
        <item x="529"/>
        <item x="103"/>
        <item x="104"/>
        <item x="530"/>
        <item x="105"/>
        <item x="106"/>
        <item x="107"/>
        <item x="108"/>
        <item x="531"/>
        <item x="532"/>
        <item x="109"/>
        <item x="110"/>
        <item x="533"/>
        <item x="534"/>
        <item x="535"/>
        <item x="536"/>
        <item x="537"/>
        <item x="111"/>
        <item x="538"/>
        <item x="112"/>
        <item x="539"/>
        <item x="113"/>
        <item x="114"/>
        <item x="540"/>
        <item x="541"/>
        <item x="542"/>
        <item x="115"/>
        <item x="116"/>
        <item x="543"/>
        <item x="117"/>
        <item x="544"/>
        <item x="118"/>
        <item x="119"/>
        <item x="545"/>
        <item x="120"/>
        <item x="121"/>
        <item x="546"/>
        <item x="547"/>
        <item x="548"/>
        <item x="122"/>
        <item x="549"/>
        <item x="550"/>
        <item x="551"/>
        <item x="123"/>
        <item x="552"/>
        <item x="553"/>
        <item x="554"/>
        <item x="555"/>
        <item x="124"/>
        <item x="556"/>
        <item x="557"/>
        <item x="558"/>
        <item x="559"/>
        <item x="125"/>
        <item x="560"/>
        <item x="561"/>
        <item x="562"/>
        <item x="126"/>
        <item x="563"/>
        <item x="564"/>
        <item x="565"/>
        <item x="127"/>
        <item x="566"/>
        <item x="128"/>
        <item x="567"/>
        <item x="129"/>
        <item x="130"/>
        <item x="568"/>
        <item x="131"/>
        <item x="569"/>
        <item x="570"/>
        <item x="571"/>
        <item x="572"/>
        <item x="132"/>
        <item x="573"/>
        <item x="574"/>
        <item x="575"/>
        <item x="576"/>
        <item x="577"/>
        <item x="578"/>
        <item x="579"/>
        <item x="580"/>
        <item x="581"/>
        <item x="582"/>
        <item x="133"/>
        <item x="134"/>
        <item x="135"/>
        <item x="136"/>
        <item x="137"/>
        <item x="138"/>
        <item x="583"/>
        <item x="584"/>
        <item x="139"/>
        <item x="140"/>
        <item x="141"/>
        <item x="585"/>
        <item x="142"/>
        <item x="586"/>
        <item x="587"/>
        <item x="588"/>
        <item x="589"/>
        <item x="590"/>
        <item x="591"/>
        <item x="143"/>
        <item x="144"/>
        <item x="592"/>
        <item x="145"/>
        <item x="146"/>
        <item x="147"/>
        <item x="593"/>
        <item x="594"/>
        <item x="595"/>
        <item x="148"/>
        <item x="596"/>
        <item x="597"/>
        <item x="149"/>
        <item x="150"/>
        <item x="151"/>
        <item x="598"/>
        <item x="599"/>
        <item x="152"/>
        <item x="600"/>
        <item x="153"/>
        <item x="601"/>
        <item x="602"/>
        <item x="603"/>
        <item x="604"/>
        <item x="605"/>
        <item x="606"/>
        <item x="607"/>
        <item x="154"/>
        <item x="155"/>
        <item x="608"/>
        <item x="156"/>
        <item x="609"/>
        <item x="610"/>
        <item x="157"/>
        <item x="611"/>
        <item x="612"/>
        <item x="158"/>
        <item x="159"/>
        <item x="160"/>
        <item x="613"/>
        <item x="161"/>
        <item x="614"/>
        <item x="615"/>
        <item x="616"/>
        <item x="617"/>
        <item x="162"/>
        <item x="163"/>
        <item x="164"/>
        <item x="618"/>
        <item x="165"/>
        <item x="619"/>
        <item x="620"/>
        <item x="621"/>
        <item x="622"/>
        <item x="166"/>
        <item x="167"/>
        <item x="623"/>
        <item x="624"/>
        <item x="168"/>
        <item x="169"/>
        <item x="625"/>
        <item x="170"/>
        <item x="626"/>
        <item x="627"/>
        <item x="171"/>
        <item x="628"/>
        <item x="172"/>
        <item x="173"/>
        <item x="174"/>
        <item x="175"/>
        <item x="176"/>
        <item x="629"/>
        <item x="177"/>
        <item x="630"/>
        <item x="178"/>
        <item x="631"/>
        <item x="179"/>
        <item x="180"/>
        <item x="632"/>
        <item x="181"/>
        <item x="633"/>
        <item x="182"/>
        <item x="634"/>
        <item x="635"/>
        <item x="183"/>
        <item x="636"/>
        <item x="637"/>
        <item x="638"/>
        <item x="184"/>
        <item x="185"/>
        <item x="639"/>
        <item x="186"/>
        <item x="187"/>
        <item x="188"/>
        <item x="640"/>
        <item x="189"/>
        <item x="641"/>
        <item x="642"/>
        <item x="643"/>
        <item x="644"/>
        <item x="190"/>
        <item x="645"/>
        <item x="646"/>
        <item x="191"/>
        <item x="647"/>
        <item x="192"/>
        <item x="648"/>
        <item x="649"/>
        <item x="650"/>
        <item x="651"/>
        <item x="193"/>
        <item x="652"/>
        <item x="653"/>
        <item x="194"/>
        <item x="654"/>
        <item x="655"/>
        <item x="656"/>
        <item x="195"/>
        <item x="657"/>
        <item x="196"/>
        <item x="658"/>
        <item x="659"/>
        <item x="660"/>
        <item x="661"/>
        <item x="662"/>
        <item x="197"/>
        <item x="198"/>
        <item x="199"/>
        <item x="663"/>
        <item x="200"/>
        <item x="664"/>
        <item x="665"/>
        <item x="666"/>
        <item x="201"/>
        <item x="667"/>
        <item x="668"/>
        <item x="669"/>
        <item x="670"/>
        <item x="202"/>
        <item x="203"/>
        <item x="671"/>
        <item x="204"/>
        <item x="205"/>
        <item x="672"/>
        <item x="206"/>
        <item x="673"/>
        <item x="207"/>
        <item x="208"/>
        <item x="674"/>
        <item x="675"/>
        <item x="209"/>
        <item x="676"/>
        <item x="210"/>
        <item x="677"/>
        <item x="211"/>
        <item x="678"/>
        <item x="679"/>
        <item x="680"/>
        <item x="212"/>
        <item x="681"/>
        <item x="682"/>
        <item x="683"/>
        <item x="684"/>
        <item x="213"/>
        <item x="214"/>
        <item x="215"/>
        <item x="216"/>
        <item x="685"/>
        <item x="686"/>
        <item x="217"/>
        <item x="218"/>
        <item x="687"/>
        <item x="219"/>
        <item x="688"/>
        <item x="689"/>
        <item x="220"/>
        <item x="690"/>
        <item x="691"/>
        <item x="221"/>
        <item x="692"/>
        <item x="693"/>
        <item x="694"/>
        <item x="695"/>
        <item x="222"/>
        <item x="223"/>
        <item x="696"/>
        <item x="224"/>
        <item x="225"/>
        <item x="226"/>
        <item x="697"/>
        <item x="698"/>
        <item x="227"/>
        <item x="699"/>
        <item x="700"/>
        <item x="701"/>
        <item x="702"/>
        <item x="703"/>
        <item x="704"/>
        <item x="705"/>
        <item x="228"/>
        <item x="229"/>
        <item x="706"/>
        <item x="707"/>
        <item x="708"/>
        <item x="230"/>
        <item x="231"/>
        <item x="709"/>
        <item x="710"/>
        <item x="711"/>
        <item x="232"/>
        <item x="233"/>
        <item x="234"/>
        <item x="235"/>
        <item x="236"/>
        <item x="712"/>
        <item x="713"/>
        <item x="714"/>
        <item x="237"/>
        <item x="715"/>
        <item x="716"/>
        <item x="238"/>
        <item x="239"/>
        <item x="240"/>
        <item x="717"/>
        <item x="241"/>
        <item x="242"/>
        <item x="243"/>
        <item x="718"/>
        <item x="719"/>
        <item x="720"/>
        <item x="721"/>
        <item x="722"/>
        <item x="723"/>
        <item x="244"/>
        <item x="724"/>
        <item x="245"/>
        <item x="725"/>
        <item x="246"/>
        <item x="726"/>
        <item x="727"/>
        <item x="728"/>
        <item x="729"/>
        <item x="730"/>
        <item x="247"/>
        <item x="731"/>
        <item x="732"/>
        <item x="248"/>
        <item x="733"/>
        <item x="249"/>
        <item x="250"/>
        <item x="734"/>
        <item x="735"/>
        <item x="251"/>
        <item x="736"/>
        <item x="737"/>
        <item x="738"/>
        <item x="739"/>
        <item x="740"/>
        <item x="252"/>
        <item x="741"/>
        <item x="253"/>
        <item x="742"/>
        <item x="254"/>
        <item x="743"/>
        <item x="744"/>
        <item x="745"/>
        <item x="255"/>
        <item x="746"/>
        <item x="747"/>
        <item x="256"/>
        <item x="748"/>
        <item x="749"/>
        <item x="257"/>
        <item x="258"/>
        <item x="750"/>
        <item x="259"/>
        <item x="751"/>
        <item x="752"/>
        <item x="260"/>
        <item x="261"/>
        <item x="753"/>
        <item x="754"/>
        <item x="262"/>
        <item x="755"/>
        <item x="756"/>
        <item x="757"/>
        <item x="758"/>
        <item x="263"/>
        <item x="759"/>
        <item x="264"/>
        <item x="760"/>
        <item x="265"/>
        <item x="761"/>
        <item x="266"/>
        <item x="267"/>
        <item x="268"/>
        <item x="269"/>
        <item x="762"/>
        <item x="270"/>
        <item x="271"/>
        <item x="763"/>
        <item x="272"/>
        <item x="273"/>
        <item x="764"/>
        <item x="765"/>
        <item x="766"/>
        <item x="767"/>
        <item x="274"/>
        <item x="275"/>
        <item x="768"/>
        <item x="276"/>
        <item x="277"/>
        <item x="769"/>
        <item x="278"/>
        <item x="770"/>
        <item x="279"/>
        <item x="280"/>
        <item x="281"/>
        <item x="282"/>
        <item x="283"/>
        <item x="771"/>
        <item x="772"/>
        <item x="773"/>
        <item x="284"/>
        <item x="774"/>
        <item x="285"/>
        <item x="286"/>
        <item x="287"/>
        <item x="775"/>
        <item x="776"/>
        <item x="288"/>
        <item x="289"/>
        <item x="777"/>
        <item x="778"/>
        <item x="779"/>
        <item x="780"/>
        <item x="290"/>
        <item x="781"/>
        <item x="291"/>
        <item x="292"/>
        <item x="293"/>
        <item x="782"/>
        <item x="294"/>
        <item x="783"/>
        <item x="295"/>
        <item x="784"/>
        <item x="785"/>
        <item x="296"/>
        <item x="786"/>
        <item x="787"/>
        <item x="788"/>
        <item x="789"/>
        <item x="297"/>
        <item x="298"/>
        <item x="299"/>
        <item x="790"/>
        <item x="300"/>
        <item x="301"/>
        <item x="302"/>
        <item x="791"/>
        <item x="792"/>
        <item x="303"/>
        <item x="793"/>
        <item x="794"/>
        <item x="304"/>
        <item x="305"/>
        <item x="795"/>
        <item x="306"/>
        <item x="796"/>
        <item x="797"/>
        <item x="307"/>
        <item x="308"/>
        <item x="798"/>
        <item x="799"/>
        <item x="800"/>
        <item x="309"/>
        <item x="801"/>
        <item x="802"/>
        <item x="803"/>
        <item x="804"/>
        <item x="805"/>
        <item x="806"/>
        <item x="310"/>
        <item x="807"/>
        <item x="808"/>
        <item x="311"/>
        <item x="312"/>
        <item x="809"/>
        <item x="313"/>
        <item x="810"/>
        <item x="314"/>
        <item x="811"/>
        <item x="812"/>
        <item x="813"/>
        <item x="814"/>
        <item x="815"/>
        <item x="816"/>
        <item x="315"/>
        <item x="817"/>
        <item x="818"/>
        <item x="316"/>
        <item x="819"/>
        <item x="820"/>
        <item x="821"/>
        <item x="317"/>
        <item x="822"/>
        <item x="823"/>
        <item x="824"/>
        <item x="825"/>
        <item x="826"/>
        <item x="827"/>
        <item x="828"/>
        <item x="829"/>
        <item x="830"/>
        <item x="318"/>
        <item x="319"/>
        <item x="831"/>
        <item x="832"/>
        <item x="320"/>
        <item x="833"/>
        <item x="834"/>
        <item x="321"/>
        <item x="322"/>
        <item x="323"/>
        <item x="835"/>
        <item x="836"/>
        <item x="324"/>
        <item x="837"/>
        <item x="838"/>
        <item x="839"/>
        <item x="840"/>
        <item x="841"/>
        <item x="325"/>
        <item x="326"/>
        <item x="842"/>
        <item x="843"/>
        <item x="844"/>
        <item x="845"/>
        <item x="846"/>
        <item x="847"/>
        <item x="848"/>
        <item x="327"/>
        <item x="849"/>
        <item x="850"/>
        <item x="328"/>
        <item x="851"/>
        <item x="329"/>
        <item x="852"/>
        <item x="853"/>
        <item x="854"/>
        <item x="855"/>
        <item x="330"/>
        <item x="331"/>
        <item x="856"/>
        <item x="857"/>
        <item x="858"/>
        <item x="859"/>
        <item x="860"/>
        <item x="861"/>
        <item x="332"/>
        <item x="333"/>
        <item x="862"/>
        <item x="334"/>
        <item x="335"/>
        <item x="863"/>
        <item x="336"/>
        <item x="864"/>
        <item x="337"/>
        <item x="338"/>
        <item x="865"/>
        <item x="866"/>
        <item x="867"/>
        <item x="339"/>
        <item x="868"/>
        <item x="869"/>
        <item x="870"/>
        <item x="871"/>
        <item x="340"/>
        <item x="872"/>
        <item x="873"/>
        <item x="874"/>
        <item x="341"/>
        <item x="342"/>
        <item x="875"/>
        <item x="876"/>
        <item x="343"/>
        <item x="877"/>
        <item x="878"/>
        <item x="344"/>
        <item x="345"/>
        <item x="879"/>
        <item x="880"/>
        <item x="346"/>
        <item x="881"/>
        <item x="882"/>
        <item x="347"/>
        <item x="348"/>
        <item x="883"/>
        <item x="884"/>
        <item x="349"/>
        <item x="885"/>
        <item x="886"/>
        <item x="887"/>
        <item x="888"/>
        <item x="889"/>
        <item x="890"/>
        <item x="891"/>
        <item x="892"/>
        <item x="350"/>
        <item x="893"/>
        <item x="351"/>
        <item x="352"/>
        <item x="894"/>
        <item x="895"/>
        <item x="353"/>
        <item x="896"/>
        <item x="897"/>
        <item x="898"/>
        <item x="899"/>
        <item x="354"/>
        <item x="900"/>
        <item x="901"/>
        <item x="902"/>
        <item x="903"/>
        <item x="904"/>
        <item x="905"/>
        <item x="906"/>
        <item x="355"/>
        <item x="356"/>
        <item x="357"/>
        <item x="907"/>
        <item x="358"/>
        <item x="908"/>
        <item x="909"/>
        <item x="910"/>
        <item x="359"/>
        <item x="360"/>
        <item x="911"/>
        <item x="361"/>
        <item x="362"/>
        <item x="912"/>
        <item x="913"/>
        <item x="914"/>
        <item x="915"/>
        <item x="363"/>
        <item x="916"/>
        <item x="917"/>
        <item x="364"/>
        <item x="365"/>
        <item x="366"/>
        <item x="918"/>
        <item x="367"/>
        <item x="919"/>
        <item x="368"/>
        <item x="369"/>
        <item x="920"/>
        <item x="370"/>
        <item x="921"/>
        <item x="922"/>
        <item x="923"/>
        <item x="924"/>
        <item x="925"/>
        <item x="371"/>
        <item x="372"/>
        <item x="926"/>
        <item x="927"/>
        <item x="373"/>
        <item x="928"/>
        <item x="929"/>
        <item x="374"/>
        <item x="375"/>
        <item x="376"/>
        <item x="930"/>
        <item x="377"/>
        <item x="378"/>
        <item x="931"/>
        <item x="379"/>
        <item x="932"/>
        <item x="933"/>
        <item x="934"/>
        <item x="380"/>
        <item x="381"/>
        <item x="382"/>
        <item x="935"/>
        <item x="383"/>
        <item x="936"/>
        <item x="384"/>
        <item x="385"/>
        <item x="386"/>
        <item x="937"/>
        <item x="387"/>
        <item x="938"/>
        <item x="939"/>
        <item x="940"/>
        <item x="941"/>
        <item x="942"/>
        <item x="943"/>
        <item x="944"/>
        <item x="945"/>
        <item x="388"/>
        <item x="389"/>
        <item x="946"/>
        <item x="390"/>
        <item x="947"/>
        <item x="391"/>
        <item x="392"/>
        <item x="393"/>
        <item x="948"/>
        <item x="394"/>
        <item t="default"/>
      </items>
    </pivotField>
    <pivotField numFmtId="165" showAll="0"/>
    <pivotField numFmtId="166" showAll="0"/>
    <pivotField axis="axisPage" multipleItemSelectionAllowed="1" showAll="0">
      <items count="14">
        <item x="8"/>
        <item x="6"/>
        <item x="12"/>
        <item x="2"/>
        <item x="0"/>
        <item x="5"/>
        <item x="1"/>
        <item x="7"/>
        <item x="9"/>
        <item x="3"/>
        <item x="10"/>
        <item x="11"/>
        <item x="4"/>
        <item t="default"/>
      </items>
    </pivotField>
    <pivotField showAll="0">
      <items count="142">
        <item x="30"/>
        <item x="17"/>
        <item x="121"/>
        <item x="34"/>
        <item x="45"/>
        <item x="113"/>
        <item x="74"/>
        <item x="136"/>
        <item x="131"/>
        <item x="8"/>
        <item x="4"/>
        <item x="93"/>
        <item x="118"/>
        <item x="130"/>
        <item x="48"/>
        <item x="101"/>
        <item x="124"/>
        <item x="64"/>
        <item x="79"/>
        <item x="68"/>
        <item x="25"/>
        <item x="6"/>
        <item x="116"/>
        <item x="135"/>
        <item x="22"/>
        <item x="77"/>
        <item x="43"/>
        <item x="5"/>
        <item x="137"/>
        <item x="86"/>
        <item x="55"/>
        <item x="1"/>
        <item x="80"/>
        <item x="67"/>
        <item x="58"/>
        <item x="122"/>
        <item x="78"/>
        <item x="127"/>
        <item x="12"/>
        <item x="128"/>
        <item x="96"/>
        <item x="62"/>
        <item x="82"/>
        <item x="126"/>
        <item x="44"/>
        <item x="66"/>
        <item x="40"/>
        <item x="99"/>
        <item x="94"/>
        <item x="53"/>
        <item x="119"/>
        <item x="9"/>
        <item x="20"/>
        <item x="36"/>
        <item x="15"/>
        <item x="85"/>
        <item x="63"/>
        <item x="56"/>
        <item x="92"/>
        <item x="75"/>
        <item x="47"/>
        <item x="39"/>
        <item x="120"/>
        <item x="23"/>
        <item x="60"/>
        <item x="70"/>
        <item x="13"/>
        <item x="3"/>
        <item x="111"/>
        <item x="103"/>
        <item x="84"/>
        <item x="73"/>
        <item x="76"/>
        <item x="14"/>
        <item x="125"/>
        <item x="18"/>
        <item x="28"/>
        <item x="41"/>
        <item x="138"/>
        <item x="46"/>
        <item x="133"/>
        <item x="0"/>
        <item x="57"/>
        <item x="100"/>
        <item x="38"/>
        <item x="24"/>
        <item x="88"/>
        <item x="42"/>
        <item x="107"/>
        <item x="110"/>
        <item x="109"/>
        <item x="71"/>
        <item x="104"/>
        <item x="10"/>
        <item x="105"/>
        <item x="89"/>
        <item x="61"/>
        <item x="90"/>
        <item x="132"/>
        <item x="51"/>
        <item x="11"/>
        <item x="50"/>
        <item x="59"/>
        <item x="95"/>
        <item x="32"/>
        <item x="54"/>
        <item x="139"/>
        <item x="102"/>
        <item x="123"/>
        <item x="134"/>
        <item x="31"/>
        <item x="140"/>
        <item x="81"/>
        <item x="108"/>
        <item x="7"/>
        <item x="16"/>
        <item x="91"/>
        <item x="87"/>
        <item x="106"/>
        <item x="21"/>
        <item x="129"/>
        <item x="26"/>
        <item x="97"/>
        <item x="65"/>
        <item x="19"/>
        <item x="49"/>
        <item x="2"/>
        <item x="52"/>
        <item x="29"/>
        <item x="117"/>
        <item x="37"/>
        <item x="72"/>
        <item x="115"/>
        <item x="114"/>
        <item x="27"/>
        <item x="83"/>
        <item x="33"/>
        <item x="112"/>
        <item x="98"/>
        <item x="35"/>
        <item x="69"/>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4"/>
  </rowFields>
  <rowItems count="5">
    <i>
      <x/>
    </i>
    <i>
      <x v="1"/>
    </i>
    <i>
      <x v="2"/>
    </i>
    <i>
      <x v="3"/>
    </i>
    <i t="grand">
      <x/>
    </i>
  </rowItems>
  <colFields count="1">
    <field x="5"/>
  </colFields>
  <colItems count="3">
    <i>
      <x/>
    </i>
    <i>
      <x v="1"/>
    </i>
    <i t="grand">
      <x/>
    </i>
  </colItems>
  <pageFields count="1">
    <pageField fld="12" hier="-1"/>
  </pageFields>
  <dataFields count="1">
    <dataField name="Gender Count" fld="0" subtotal="count" baseField="0" baseItem="0"/>
  </dataFields>
  <chartFormats count="3">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3413D3-9E75-40BB-8748-216C4CFBA39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58:B166" firstHeaderRow="1" firstDataRow="1" firstDataCol="1"/>
  <pivotFields count="18">
    <pivotField dataField="1" showAll="0"/>
    <pivotField showAll="0"/>
    <pivotField showAll="0"/>
    <pivotField axis="axisRow" showAll="0">
      <items count="8">
        <item x="6"/>
        <item x="0"/>
        <item x="5"/>
        <item x="3"/>
        <item x="2"/>
        <item x="4"/>
        <item x="1"/>
        <item t="default"/>
      </items>
    </pivotField>
    <pivotField showAll="0"/>
    <pivotField showAll="0"/>
    <pivotField showAll="0"/>
    <pivotField showAll="0"/>
    <pivotField showAll="0"/>
    <pivotField numFmtId="14" showAll="0">
      <items count="950">
        <item x="0"/>
        <item x="1"/>
        <item x="395"/>
        <item x="396"/>
        <item x="2"/>
        <item x="397"/>
        <item x="398"/>
        <item x="399"/>
        <item x="3"/>
        <item x="400"/>
        <item x="401"/>
        <item x="402"/>
        <item x="403"/>
        <item x="404"/>
        <item x="405"/>
        <item x="4"/>
        <item x="5"/>
        <item x="406"/>
        <item x="6"/>
        <item x="407"/>
        <item x="408"/>
        <item x="7"/>
        <item x="409"/>
        <item x="410"/>
        <item x="411"/>
        <item x="412"/>
        <item x="8"/>
        <item x="413"/>
        <item x="414"/>
        <item x="9"/>
        <item x="10"/>
        <item x="415"/>
        <item x="416"/>
        <item x="11"/>
        <item x="12"/>
        <item x="417"/>
        <item x="13"/>
        <item x="418"/>
        <item x="419"/>
        <item x="420"/>
        <item x="14"/>
        <item x="421"/>
        <item x="422"/>
        <item x="15"/>
        <item x="423"/>
        <item x="16"/>
        <item x="424"/>
        <item x="17"/>
        <item x="18"/>
        <item x="19"/>
        <item x="425"/>
        <item x="20"/>
        <item x="21"/>
        <item x="22"/>
        <item x="426"/>
        <item x="427"/>
        <item x="428"/>
        <item x="23"/>
        <item x="429"/>
        <item x="430"/>
        <item x="24"/>
        <item x="431"/>
        <item x="432"/>
        <item x="433"/>
        <item x="434"/>
        <item x="435"/>
        <item x="25"/>
        <item x="436"/>
        <item x="437"/>
        <item x="26"/>
        <item x="438"/>
        <item x="439"/>
        <item x="27"/>
        <item x="440"/>
        <item x="28"/>
        <item x="29"/>
        <item x="441"/>
        <item x="442"/>
        <item x="443"/>
        <item x="30"/>
        <item x="31"/>
        <item x="444"/>
        <item x="445"/>
        <item x="446"/>
        <item x="447"/>
        <item x="32"/>
        <item x="33"/>
        <item x="34"/>
        <item x="448"/>
        <item x="35"/>
        <item x="449"/>
        <item x="450"/>
        <item x="36"/>
        <item x="37"/>
        <item x="38"/>
        <item x="451"/>
        <item x="452"/>
        <item x="39"/>
        <item x="453"/>
        <item x="40"/>
        <item x="41"/>
        <item x="454"/>
        <item x="42"/>
        <item x="43"/>
        <item x="455"/>
        <item x="456"/>
        <item x="44"/>
        <item x="45"/>
        <item x="46"/>
        <item x="457"/>
        <item x="47"/>
        <item x="48"/>
        <item x="458"/>
        <item x="49"/>
        <item x="459"/>
        <item x="50"/>
        <item x="51"/>
        <item x="460"/>
        <item x="461"/>
        <item x="52"/>
        <item x="53"/>
        <item x="462"/>
        <item x="463"/>
        <item x="54"/>
        <item x="464"/>
        <item x="55"/>
        <item x="465"/>
        <item x="56"/>
        <item x="466"/>
        <item x="467"/>
        <item x="468"/>
        <item x="57"/>
        <item x="58"/>
        <item x="469"/>
        <item x="470"/>
        <item x="59"/>
        <item x="471"/>
        <item x="60"/>
        <item x="61"/>
        <item x="62"/>
        <item x="63"/>
        <item x="472"/>
        <item x="64"/>
        <item x="473"/>
        <item x="474"/>
        <item x="475"/>
        <item x="65"/>
        <item x="66"/>
        <item x="67"/>
        <item x="68"/>
        <item x="69"/>
        <item x="476"/>
        <item x="477"/>
        <item x="70"/>
        <item x="478"/>
        <item x="479"/>
        <item x="71"/>
        <item x="72"/>
        <item x="480"/>
        <item x="481"/>
        <item x="482"/>
        <item x="73"/>
        <item x="74"/>
        <item x="75"/>
        <item x="76"/>
        <item x="77"/>
        <item x="78"/>
        <item x="483"/>
        <item x="79"/>
        <item x="484"/>
        <item x="80"/>
        <item x="485"/>
        <item x="486"/>
        <item x="487"/>
        <item x="81"/>
        <item x="82"/>
        <item x="488"/>
        <item x="489"/>
        <item x="490"/>
        <item x="491"/>
        <item x="492"/>
        <item x="493"/>
        <item x="494"/>
        <item x="495"/>
        <item x="496"/>
        <item x="83"/>
        <item x="497"/>
        <item x="84"/>
        <item x="498"/>
        <item x="85"/>
        <item x="499"/>
        <item x="86"/>
        <item x="500"/>
        <item x="87"/>
        <item x="501"/>
        <item x="502"/>
        <item x="503"/>
        <item x="88"/>
        <item x="504"/>
        <item x="505"/>
        <item x="89"/>
        <item x="90"/>
        <item x="506"/>
        <item x="91"/>
        <item x="507"/>
        <item x="508"/>
        <item x="509"/>
        <item x="92"/>
        <item x="510"/>
        <item x="511"/>
        <item x="93"/>
        <item x="512"/>
        <item x="513"/>
        <item x="514"/>
        <item x="94"/>
        <item x="515"/>
        <item x="95"/>
        <item x="516"/>
        <item x="517"/>
        <item x="96"/>
        <item x="518"/>
        <item x="97"/>
        <item x="519"/>
        <item x="98"/>
        <item x="99"/>
        <item x="100"/>
        <item x="520"/>
        <item x="521"/>
        <item x="522"/>
        <item x="101"/>
        <item x="523"/>
        <item x="524"/>
        <item x="525"/>
        <item x="526"/>
        <item x="102"/>
        <item x="527"/>
        <item x="528"/>
        <item x="529"/>
        <item x="103"/>
        <item x="104"/>
        <item x="530"/>
        <item x="105"/>
        <item x="106"/>
        <item x="107"/>
        <item x="108"/>
        <item x="531"/>
        <item x="532"/>
        <item x="109"/>
        <item x="110"/>
        <item x="533"/>
        <item x="534"/>
        <item x="535"/>
        <item x="536"/>
        <item x="537"/>
        <item x="111"/>
        <item x="538"/>
        <item x="112"/>
        <item x="539"/>
        <item x="113"/>
        <item x="114"/>
        <item x="540"/>
        <item x="541"/>
        <item x="542"/>
        <item x="115"/>
        <item x="116"/>
        <item x="543"/>
        <item x="117"/>
        <item x="544"/>
        <item x="118"/>
        <item x="119"/>
        <item x="545"/>
        <item x="120"/>
        <item x="121"/>
        <item x="546"/>
        <item x="547"/>
        <item x="548"/>
        <item x="122"/>
        <item x="549"/>
        <item x="550"/>
        <item x="551"/>
        <item x="123"/>
        <item x="552"/>
        <item x="553"/>
        <item x="554"/>
        <item x="555"/>
        <item x="124"/>
        <item x="556"/>
        <item x="557"/>
        <item x="558"/>
        <item x="559"/>
        <item x="125"/>
        <item x="560"/>
        <item x="561"/>
        <item x="562"/>
        <item x="126"/>
        <item x="563"/>
        <item x="564"/>
        <item x="565"/>
        <item x="127"/>
        <item x="566"/>
        <item x="128"/>
        <item x="567"/>
        <item x="129"/>
        <item x="130"/>
        <item x="568"/>
        <item x="131"/>
        <item x="569"/>
        <item x="570"/>
        <item x="571"/>
        <item x="572"/>
        <item x="132"/>
        <item x="573"/>
        <item x="574"/>
        <item x="575"/>
        <item x="576"/>
        <item x="577"/>
        <item x="578"/>
        <item x="579"/>
        <item x="580"/>
        <item x="581"/>
        <item x="582"/>
        <item x="133"/>
        <item x="134"/>
        <item x="135"/>
        <item x="136"/>
        <item x="137"/>
        <item x="138"/>
        <item x="583"/>
        <item x="584"/>
        <item x="139"/>
        <item x="140"/>
        <item x="141"/>
        <item x="585"/>
        <item x="142"/>
        <item x="586"/>
        <item x="587"/>
        <item x="588"/>
        <item x="589"/>
        <item x="590"/>
        <item x="591"/>
        <item x="143"/>
        <item x="144"/>
        <item x="592"/>
        <item x="145"/>
        <item x="146"/>
        <item x="147"/>
        <item x="593"/>
        <item x="594"/>
        <item x="595"/>
        <item x="148"/>
        <item x="596"/>
        <item x="597"/>
        <item x="149"/>
        <item x="150"/>
        <item x="151"/>
        <item x="598"/>
        <item x="599"/>
        <item x="152"/>
        <item x="600"/>
        <item x="153"/>
        <item x="601"/>
        <item x="602"/>
        <item x="603"/>
        <item x="604"/>
        <item x="605"/>
        <item x="606"/>
        <item x="607"/>
        <item x="154"/>
        <item x="155"/>
        <item x="608"/>
        <item x="156"/>
        <item x="609"/>
        <item x="610"/>
        <item x="157"/>
        <item x="611"/>
        <item x="612"/>
        <item x="158"/>
        <item x="159"/>
        <item x="160"/>
        <item x="613"/>
        <item x="161"/>
        <item x="614"/>
        <item x="615"/>
        <item x="616"/>
        <item x="617"/>
        <item x="162"/>
        <item x="163"/>
        <item x="164"/>
        <item x="618"/>
        <item x="165"/>
        <item x="619"/>
        <item x="620"/>
        <item x="621"/>
        <item x="622"/>
        <item x="166"/>
        <item x="167"/>
        <item x="623"/>
        <item x="624"/>
        <item x="168"/>
        <item x="169"/>
        <item x="625"/>
        <item x="170"/>
        <item x="626"/>
        <item x="627"/>
        <item x="171"/>
        <item x="628"/>
        <item x="172"/>
        <item x="173"/>
        <item x="174"/>
        <item x="175"/>
        <item x="176"/>
        <item x="629"/>
        <item x="177"/>
        <item x="630"/>
        <item x="178"/>
        <item x="631"/>
        <item x="179"/>
        <item x="180"/>
        <item x="632"/>
        <item x="181"/>
        <item x="633"/>
        <item x="182"/>
        <item x="634"/>
        <item x="635"/>
        <item x="183"/>
        <item x="636"/>
        <item x="637"/>
        <item x="638"/>
        <item x="184"/>
        <item x="185"/>
        <item x="639"/>
        <item x="186"/>
        <item x="187"/>
        <item x="188"/>
        <item x="640"/>
        <item x="189"/>
        <item x="641"/>
        <item x="642"/>
        <item x="643"/>
        <item x="644"/>
        <item x="190"/>
        <item x="645"/>
        <item x="646"/>
        <item x="191"/>
        <item x="647"/>
        <item x="192"/>
        <item x="648"/>
        <item x="649"/>
        <item x="650"/>
        <item x="651"/>
        <item x="193"/>
        <item x="652"/>
        <item x="653"/>
        <item x="194"/>
        <item x="654"/>
        <item x="655"/>
        <item x="656"/>
        <item x="195"/>
        <item x="657"/>
        <item x="196"/>
        <item x="658"/>
        <item x="659"/>
        <item x="660"/>
        <item x="661"/>
        <item x="662"/>
        <item x="197"/>
        <item x="198"/>
        <item x="199"/>
        <item x="663"/>
        <item x="200"/>
        <item x="664"/>
        <item x="665"/>
        <item x="666"/>
        <item x="201"/>
        <item x="667"/>
        <item x="668"/>
        <item x="669"/>
        <item x="670"/>
        <item x="202"/>
        <item x="203"/>
        <item x="671"/>
        <item x="204"/>
        <item x="205"/>
        <item x="672"/>
        <item x="206"/>
        <item x="673"/>
        <item x="207"/>
        <item x="208"/>
        <item x="674"/>
        <item x="675"/>
        <item x="209"/>
        <item x="676"/>
        <item x="210"/>
        <item x="677"/>
        <item x="211"/>
        <item x="678"/>
        <item x="679"/>
        <item x="680"/>
        <item x="212"/>
        <item x="681"/>
        <item x="682"/>
        <item x="683"/>
        <item x="684"/>
        <item x="213"/>
        <item x="214"/>
        <item x="215"/>
        <item x="216"/>
        <item x="685"/>
        <item x="686"/>
        <item x="217"/>
        <item x="218"/>
        <item x="687"/>
        <item x="219"/>
        <item x="688"/>
        <item x="689"/>
        <item x="220"/>
        <item x="690"/>
        <item x="691"/>
        <item x="221"/>
        <item x="692"/>
        <item x="693"/>
        <item x="694"/>
        <item x="695"/>
        <item x="222"/>
        <item x="223"/>
        <item x="696"/>
        <item x="224"/>
        <item x="225"/>
        <item x="226"/>
        <item x="697"/>
        <item x="698"/>
        <item x="227"/>
        <item x="699"/>
        <item x="700"/>
        <item x="701"/>
        <item x="702"/>
        <item x="703"/>
        <item x="704"/>
        <item x="705"/>
        <item x="228"/>
        <item x="229"/>
        <item x="706"/>
        <item x="707"/>
        <item x="708"/>
        <item x="230"/>
        <item x="231"/>
        <item x="709"/>
        <item x="710"/>
        <item x="711"/>
        <item x="232"/>
        <item x="233"/>
        <item x="234"/>
        <item x="235"/>
        <item x="236"/>
        <item x="712"/>
        <item x="713"/>
        <item x="714"/>
        <item x="237"/>
        <item x="715"/>
        <item x="716"/>
        <item x="238"/>
        <item x="239"/>
        <item x="240"/>
        <item x="717"/>
        <item x="241"/>
        <item x="242"/>
        <item x="243"/>
        <item x="718"/>
        <item x="719"/>
        <item x="720"/>
        <item x="721"/>
        <item x="722"/>
        <item x="723"/>
        <item x="244"/>
        <item x="724"/>
        <item x="245"/>
        <item x="725"/>
        <item x="246"/>
        <item x="726"/>
        <item x="727"/>
        <item x="728"/>
        <item x="729"/>
        <item x="730"/>
        <item x="247"/>
        <item x="731"/>
        <item x="732"/>
        <item x="248"/>
        <item x="733"/>
        <item x="249"/>
        <item x="250"/>
        <item x="734"/>
        <item x="735"/>
        <item x="251"/>
        <item x="736"/>
        <item x="737"/>
        <item x="738"/>
        <item x="739"/>
        <item x="740"/>
        <item x="252"/>
        <item x="741"/>
        <item x="253"/>
        <item x="742"/>
        <item x="254"/>
        <item x="743"/>
        <item x="744"/>
        <item x="745"/>
        <item x="255"/>
        <item x="746"/>
        <item x="747"/>
        <item x="256"/>
        <item x="748"/>
        <item x="749"/>
        <item x="257"/>
        <item x="258"/>
        <item x="750"/>
        <item x="259"/>
        <item x="751"/>
        <item x="752"/>
        <item x="260"/>
        <item x="261"/>
        <item x="753"/>
        <item x="754"/>
        <item x="262"/>
        <item x="755"/>
        <item x="756"/>
        <item x="757"/>
        <item x="758"/>
        <item x="263"/>
        <item x="759"/>
        <item x="264"/>
        <item x="760"/>
        <item x="265"/>
        <item x="761"/>
        <item x="266"/>
        <item x="267"/>
        <item x="268"/>
        <item x="269"/>
        <item x="762"/>
        <item x="270"/>
        <item x="271"/>
        <item x="763"/>
        <item x="272"/>
        <item x="273"/>
        <item x="764"/>
        <item x="765"/>
        <item x="766"/>
        <item x="767"/>
        <item x="274"/>
        <item x="275"/>
        <item x="768"/>
        <item x="276"/>
        <item x="277"/>
        <item x="769"/>
        <item x="278"/>
        <item x="770"/>
        <item x="279"/>
        <item x="280"/>
        <item x="281"/>
        <item x="282"/>
        <item x="283"/>
        <item x="771"/>
        <item x="772"/>
        <item x="773"/>
        <item x="284"/>
        <item x="774"/>
        <item x="285"/>
        <item x="286"/>
        <item x="287"/>
        <item x="775"/>
        <item x="776"/>
        <item x="288"/>
        <item x="289"/>
        <item x="777"/>
        <item x="778"/>
        <item x="779"/>
        <item x="780"/>
        <item x="290"/>
        <item x="781"/>
        <item x="291"/>
        <item x="292"/>
        <item x="293"/>
        <item x="782"/>
        <item x="294"/>
        <item x="783"/>
        <item x="295"/>
        <item x="784"/>
        <item x="785"/>
        <item x="296"/>
        <item x="786"/>
        <item x="787"/>
        <item x="788"/>
        <item x="789"/>
        <item x="297"/>
        <item x="298"/>
        <item x="299"/>
        <item x="790"/>
        <item x="300"/>
        <item x="301"/>
        <item x="302"/>
        <item x="791"/>
        <item x="792"/>
        <item x="303"/>
        <item x="793"/>
        <item x="794"/>
        <item x="304"/>
        <item x="305"/>
        <item x="795"/>
        <item x="306"/>
        <item x="796"/>
        <item x="797"/>
        <item x="307"/>
        <item x="308"/>
        <item x="798"/>
        <item x="799"/>
        <item x="800"/>
        <item x="309"/>
        <item x="801"/>
        <item x="802"/>
        <item x="803"/>
        <item x="804"/>
        <item x="805"/>
        <item x="806"/>
        <item x="310"/>
        <item x="807"/>
        <item x="808"/>
        <item x="311"/>
        <item x="312"/>
        <item x="809"/>
        <item x="313"/>
        <item x="810"/>
        <item x="314"/>
        <item x="811"/>
        <item x="812"/>
        <item x="813"/>
        <item x="814"/>
        <item x="815"/>
        <item x="816"/>
        <item x="315"/>
        <item x="817"/>
        <item x="818"/>
        <item x="316"/>
        <item x="819"/>
        <item x="820"/>
        <item x="821"/>
        <item x="317"/>
        <item x="822"/>
        <item x="823"/>
        <item x="824"/>
        <item x="825"/>
        <item x="826"/>
        <item x="827"/>
        <item x="828"/>
        <item x="829"/>
        <item x="830"/>
        <item x="318"/>
        <item x="319"/>
        <item x="831"/>
        <item x="832"/>
        <item x="320"/>
        <item x="833"/>
        <item x="834"/>
        <item x="321"/>
        <item x="322"/>
        <item x="323"/>
        <item x="835"/>
        <item x="836"/>
        <item x="324"/>
        <item x="837"/>
        <item x="838"/>
        <item x="839"/>
        <item x="840"/>
        <item x="841"/>
        <item x="325"/>
        <item x="326"/>
        <item x="842"/>
        <item x="843"/>
        <item x="844"/>
        <item x="845"/>
        <item x="846"/>
        <item x="847"/>
        <item x="848"/>
        <item x="327"/>
        <item x="849"/>
        <item x="850"/>
        <item x="328"/>
        <item x="851"/>
        <item x="329"/>
        <item x="852"/>
        <item x="853"/>
        <item x="854"/>
        <item x="855"/>
        <item x="330"/>
        <item x="331"/>
        <item x="856"/>
        <item x="857"/>
        <item x="858"/>
        <item x="859"/>
        <item x="860"/>
        <item x="861"/>
        <item x="332"/>
        <item x="333"/>
        <item x="862"/>
        <item x="334"/>
        <item x="335"/>
        <item x="863"/>
        <item x="336"/>
        <item x="864"/>
        <item x="337"/>
        <item x="338"/>
        <item x="865"/>
        <item x="866"/>
        <item x="867"/>
        <item x="339"/>
        <item x="868"/>
        <item x="869"/>
        <item x="870"/>
        <item x="871"/>
        <item x="340"/>
        <item x="872"/>
        <item x="873"/>
        <item x="874"/>
        <item x="341"/>
        <item x="342"/>
        <item x="875"/>
        <item x="876"/>
        <item x="343"/>
        <item x="877"/>
        <item x="878"/>
        <item x="344"/>
        <item x="345"/>
        <item x="879"/>
        <item x="880"/>
        <item x="346"/>
        <item x="881"/>
        <item x="882"/>
        <item x="347"/>
        <item x="348"/>
        <item x="883"/>
        <item x="884"/>
        <item x="349"/>
        <item x="885"/>
        <item x="886"/>
        <item x="887"/>
        <item x="888"/>
        <item x="889"/>
        <item x="890"/>
        <item x="891"/>
        <item x="892"/>
        <item x="350"/>
        <item x="893"/>
        <item x="351"/>
        <item x="352"/>
        <item x="894"/>
        <item x="895"/>
        <item x="353"/>
        <item x="896"/>
        <item x="897"/>
        <item x="898"/>
        <item x="899"/>
        <item x="354"/>
        <item x="900"/>
        <item x="901"/>
        <item x="902"/>
        <item x="903"/>
        <item x="904"/>
        <item x="905"/>
        <item x="906"/>
        <item x="355"/>
        <item x="356"/>
        <item x="357"/>
        <item x="907"/>
        <item x="358"/>
        <item x="908"/>
        <item x="909"/>
        <item x="910"/>
        <item x="359"/>
        <item x="360"/>
        <item x="911"/>
        <item x="361"/>
        <item x="362"/>
        <item x="912"/>
        <item x="913"/>
        <item x="914"/>
        <item x="915"/>
        <item x="363"/>
        <item x="916"/>
        <item x="917"/>
        <item x="364"/>
        <item x="365"/>
        <item x="366"/>
        <item x="918"/>
        <item x="367"/>
        <item x="919"/>
        <item x="368"/>
        <item x="369"/>
        <item x="920"/>
        <item x="370"/>
        <item x="921"/>
        <item x="922"/>
        <item x="923"/>
        <item x="924"/>
        <item x="925"/>
        <item x="371"/>
        <item x="372"/>
        <item x="926"/>
        <item x="927"/>
        <item x="373"/>
        <item x="928"/>
        <item x="929"/>
        <item x="374"/>
        <item x="375"/>
        <item x="376"/>
        <item x="930"/>
        <item x="377"/>
        <item x="378"/>
        <item x="931"/>
        <item x="379"/>
        <item x="932"/>
        <item x="933"/>
        <item x="934"/>
        <item x="380"/>
        <item x="381"/>
        <item x="382"/>
        <item x="935"/>
        <item x="383"/>
        <item x="936"/>
        <item x="384"/>
        <item x="385"/>
        <item x="386"/>
        <item x="937"/>
        <item x="387"/>
        <item x="938"/>
        <item x="939"/>
        <item x="940"/>
        <item x="941"/>
        <item x="942"/>
        <item x="943"/>
        <item x="944"/>
        <item x="945"/>
        <item x="388"/>
        <item x="389"/>
        <item x="946"/>
        <item x="390"/>
        <item x="947"/>
        <item x="391"/>
        <item x="392"/>
        <item x="393"/>
        <item x="948"/>
        <item x="394"/>
        <item t="default"/>
      </items>
    </pivotField>
    <pivotField numFmtId="165" showAll="0"/>
    <pivotField numFmtId="166" showAll="0"/>
    <pivotField showAll="0">
      <items count="14">
        <item x="8"/>
        <item x="6"/>
        <item x="12"/>
        <item x="2"/>
        <item x="0"/>
        <item x="5"/>
        <item x="1"/>
        <item x="7"/>
        <item x="9"/>
        <item x="3"/>
        <item x="10"/>
        <item x="11"/>
        <item x="4"/>
        <item t="default"/>
      </items>
    </pivotField>
    <pivotField showAll="0">
      <items count="142">
        <item x="30"/>
        <item x="17"/>
        <item x="121"/>
        <item x="34"/>
        <item x="45"/>
        <item x="113"/>
        <item x="74"/>
        <item x="136"/>
        <item x="131"/>
        <item x="8"/>
        <item x="4"/>
        <item x="93"/>
        <item x="118"/>
        <item x="130"/>
        <item x="48"/>
        <item x="101"/>
        <item x="124"/>
        <item x="64"/>
        <item x="79"/>
        <item x="68"/>
        <item x="25"/>
        <item x="6"/>
        <item x="116"/>
        <item x="135"/>
        <item x="22"/>
        <item x="77"/>
        <item x="43"/>
        <item x="5"/>
        <item x="137"/>
        <item x="86"/>
        <item x="55"/>
        <item x="1"/>
        <item x="80"/>
        <item x="67"/>
        <item x="58"/>
        <item x="122"/>
        <item x="78"/>
        <item x="127"/>
        <item x="12"/>
        <item x="128"/>
        <item x="96"/>
        <item x="62"/>
        <item x="82"/>
        <item x="126"/>
        <item x="44"/>
        <item x="66"/>
        <item x="40"/>
        <item x="99"/>
        <item x="94"/>
        <item x="53"/>
        <item x="119"/>
        <item x="9"/>
        <item x="20"/>
        <item x="36"/>
        <item x="15"/>
        <item x="85"/>
        <item x="63"/>
        <item x="56"/>
        <item x="92"/>
        <item x="75"/>
        <item x="47"/>
        <item x="39"/>
        <item x="120"/>
        <item x="23"/>
        <item x="60"/>
        <item x="70"/>
        <item x="13"/>
        <item x="3"/>
        <item x="111"/>
        <item x="103"/>
        <item x="84"/>
        <item x="73"/>
        <item x="76"/>
        <item x="14"/>
        <item x="125"/>
        <item x="18"/>
        <item x="28"/>
        <item x="41"/>
        <item x="138"/>
        <item x="46"/>
        <item x="133"/>
        <item x="0"/>
        <item x="57"/>
        <item x="100"/>
        <item x="38"/>
        <item x="24"/>
        <item x="88"/>
        <item x="42"/>
        <item x="107"/>
        <item x="110"/>
        <item x="109"/>
        <item x="71"/>
        <item x="104"/>
        <item x="10"/>
        <item x="105"/>
        <item x="89"/>
        <item x="61"/>
        <item x="90"/>
        <item x="132"/>
        <item x="51"/>
        <item x="11"/>
        <item x="50"/>
        <item x="59"/>
        <item x="95"/>
        <item x="32"/>
        <item x="54"/>
        <item x="139"/>
        <item x="102"/>
        <item x="123"/>
        <item x="134"/>
        <item x="31"/>
        <item x="140"/>
        <item x="81"/>
        <item x="108"/>
        <item x="7"/>
        <item x="16"/>
        <item x="91"/>
        <item x="87"/>
        <item x="106"/>
        <item x="21"/>
        <item x="129"/>
        <item x="26"/>
        <item x="97"/>
        <item x="65"/>
        <item x="19"/>
        <item x="49"/>
        <item x="2"/>
        <item x="52"/>
        <item x="29"/>
        <item x="117"/>
        <item x="37"/>
        <item x="72"/>
        <item x="115"/>
        <item x="114"/>
        <item x="27"/>
        <item x="83"/>
        <item x="33"/>
        <item x="112"/>
        <item x="98"/>
        <item x="35"/>
        <item x="69"/>
        <item t="default"/>
      </items>
    </pivotField>
    <pivotField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Fields count="1">
    <field x="3"/>
  </rowFields>
  <rowItems count="8">
    <i>
      <x/>
    </i>
    <i>
      <x v="1"/>
    </i>
    <i>
      <x v="2"/>
    </i>
    <i>
      <x v="3"/>
    </i>
    <i>
      <x v="4"/>
    </i>
    <i>
      <x v="5"/>
    </i>
    <i>
      <x v="6"/>
    </i>
    <i t="grand">
      <x/>
    </i>
  </rowItems>
  <colItems count="1">
    <i/>
  </colItems>
  <dataFields count="1">
    <dataField name="Count of EEID" fld="0" subtotal="count" baseField="0" baseItem="0"/>
  </dataFields>
  <chartFormats count="16">
    <chartFormat chart="0" format="0"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3" count="1" selected="0">
            <x v="0"/>
          </reference>
        </references>
      </pivotArea>
    </chartFormat>
    <chartFormat chart="4" format="11">
      <pivotArea type="data" outline="0" fieldPosition="0">
        <references count="2">
          <reference field="4294967294" count="1" selected="0">
            <x v="0"/>
          </reference>
          <reference field="3" count="1" selected="0">
            <x v="1"/>
          </reference>
        </references>
      </pivotArea>
    </chartFormat>
    <chartFormat chart="4" format="12">
      <pivotArea type="data" outline="0" fieldPosition="0">
        <references count="2">
          <reference field="4294967294" count="1" selected="0">
            <x v="0"/>
          </reference>
          <reference field="3" count="1" selected="0">
            <x v="2"/>
          </reference>
        </references>
      </pivotArea>
    </chartFormat>
    <chartFormat chart="4" format="13">
      <pivotArea type="data" outline="0" fieldPosition="0">
        <references count="2">
          <reference field="4294967294" count="1" selected="0">
            <x v="0"/>
          </reference>
          <reference field="3" count="1" selected="0">
            <x v="3"/>
          </reference>
        </references>
      </pivotArea>
    </chartFormat>
    <chartFormat chart="4" format="14">
      <pivotArea type="data" outline="0" fieldPosition="0">
        <references count="2">
          <reference field="4294967294" count="1" selected="0">
            <x v="0"/>
          </reference>
          <reference field="3" count="1" selected="0">
            <x v="4"/>
          </reference>
        </references>
      </pivotArea>
    </chartFormat>
    <chartFormat chart="4" format="15">
      <pivotArea type="data" outline="0" fieldPosition="0">
        <references count="2">
          <reference field="4294967294" count="1" selected="0">
            <x v="0"/>
          </reference>
          <reference field="3" count="1" selected="0">
            <x v="5"/>
          </reference>
        </references>
      </pivotArea>
    </chartFormat>
    <chartFormat chart="4" format="16">
      <pivotArea type="data" outline="0" fieldPosition="0">
        <references count="2">
          <reference field="4294967294" count="1" selected="0">
            <x v="0"/>
          </reference>
          <reference field="3" count="1" selected="0">
            <x v="6"/>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 chart="0" format="7">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FA2089B-D08E-4930-8232-1B7D396A4CC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0:B203" firstHeaderRow="1" firstDataRow="1" firstDataCol="1"/>
  <pivotFields count="18">
    <pivotField showAll="0"/>
    <pivotField showAll="0"/>
    <pivotField showAll="0"/>
    <pivotField showAll="0"/>
    <pivotField showAll="0"/>
    <pivotField axis="axisRow" showAll="0">
      <items count="3">
        <item x="1"/>
        <item x="0"/>
        <item t="default"/>
      </items>
    </pivotField>
    <pivotField showAll="0"/>
    <pivotField showAll="0"/>
    <pivotField showAll="0"/>
    <pivotField numFmtId="14" showAll="0">
      <items count="950">
        <item x="0"/>
        <item x="1"/>
        <item x="395"/>
        <item x="396"/>
        <item x="2"/>
        <item x="397"/>
        <item x="398"/>
        <item x="399"/>
        <item x="3"/>
        <item x="400"/>
        <item x="401"/>
        <item x="402"/>
        <item x="403"/>
        <item x="404"/>
        <item x="405"/>
        <item x="4"/>
        <item x="5"/>
        <item x="406"/>
        <item x="6"/>
        <item x="407"/>
        <item x="408"/>
        <item x="7"/>
        <item x="409"/>
        <item x="410"/>
        <item x="411"/>
        <item x="412"/>
        <item x="8"/>
        <item x="413"/>
        <item x="414"/>
        <item x="9"/>
        <item x="10"/>
        <item x="415"/>
        <item x="416"/>
        <item x="11"/>
        <item x="12"/>
        <item x="417"/>
        <item x="13"/>
        <item x="418"/>
        <item x="419"/>
        <item x="420"/>
        <item x="14"/>
        <item x="421"/>
        <item x="422"/>
        <item x="15"/>
        <item x="423"/>
        <item x="16"/>
        <item x="424"/>
        <item x="17"/>
        <item x="18"/>
        <item x="19"/>
        <item x="425"/>
        <item x="20"/>
        <item x="21"/>
        <item x="22"/>
        <item x="426"/>
        <item x="427"/>
        <item x="428"/>
        <item x="23"/>
        <item x="429"/>
        <item x="430"/>
        <item x="24"/>
        <item x="431"/>
        <item x="432"/>
        <item x="433"/>
        <item x="434"/>
        <item x="435"/>
        <item x="25"/>
        <item x="436"/>
        <item x="437"/>
        <item x="26"/>
        <item x="438"/>
        <item x="439"/>
        <item x="27"/>
        <item x="440"/>
        <item x="28"/>
        <item x="29"/>
        <item x="441"/>
        <item x="442"/>
        <item x="443"/>
        <item x="30"/>
        <item x="31"/>
        <item x="444"/>
        <item x="445"/>
        <item x="446"/>
        <item x="447"/>
        <item x="32"/>
        <item x="33"/>
        <item x="34"/>
        <item x="448"/>
        <item x="35"/>
        <item x="449"/>
        <item x="450"/>
        <item x="36"/>
        <item x="37"/>
        <item x="38"/>
        <item x="451"/>
        <item x="452"/>
        <item x="39"/>
        <item x="453"/>
        <item x="40"/>
        <item x="41"/>
        <item x="454"/>
        <item x="42"/>
        <item x="43"/>
        <item x="455"/>
        <item x="456"/>
        <item x="44"/>
        <item x="45"/>
        <item x="46"/>
        <item x="457"/>
        <item x="47"/>
        <item x="48"/>
        <item x="458"/>
        <item x="49"/>
        <item x="459"/>
        <item x="50"/>
        <item x="51"/>
        <item x="460"/>
        <item x="461"/>
        <item x="52"/>
        <item x="53"/>
        <item x="462"/>
        <item x="463"/>
        <item x="54"/>
        <item x="464"/>
        <item x="55"/>
        <item x="465"/>
        <item x="56"/>
        <item x="466"/>
        <item x="467"/>
        <item x="468"/>
        <item x="57"/>
        <item x="58"/>
        <item x="469"/>
        <item x="470"/>
        <item x="59"/>
        <item x="471"/>
        <item x="60"/>
        <item x="61"/>
        <item x="62"/>
        <item x="63"/>
        <item x="472"/>
        <item x="64"/>
        <item x="473"/>
        <item x="474"/>
        <item x="475"/>
        <item x="65"/>
        <item x="66"/>
        <item x="67"/>
        <item x="68"/>
        <item x="69"/>
        <item x="476"/>
        <item x="477"/>
        <item x="70"/>
        <item x="478"/>
        <item x="479"/>
        <item x="71"/>
        <item x="72"/>
        <item x="480"/>
        <item x="481"/>
        <item x="482"/>
        <item x="73"/>
        <item x="74"/>
        <item x="75"/>
        <item x="76"/>
        <item x="77"/>
        <item x="78"/>
        <item x="483"/>
        <item x="79"/>
        <item x="484"/>
        <item x="80"/>
        <item x="485"/>
        <item x="486"/>
        <item x="487"/>
        <item x="81"/>
        <item x="82"/>
        <item x="488"/>
        <item x="489"/>
        <item x="490"/>
        <item x="491"/>
        <item x="492"/>
        <item x="493"/>
        <item x="494"/>
        <item x="495"/>
        <item x="496"/>
        <item x="83"/>
        <item x="497"/>
        <item x="84"/>
        <item x="498"/>
        <item x="85"/>
        <item x="499"/>
        <item x="86"/>
        <item x="500"/>
        <item x="87"/>
        <item x="501"/>
        <item x="502"/>
        <item x="503"/>
        <item x="88"/>
        <item x="504"/>
        <item x="505"/>
        <item x="89"/>
        <item x="90"/>
        <item x="506"/>
        <item x="91"/>
        <item x="507"/>
        <item x="508"/>
        <item x="509"/>
        <item x="92"/>
        <item x="510"/>
        <item x="511"/>
        <item x="93"/>
        <item x="512"/>
        <item x="513"/>
        <item x="514"/>
        <item x="94"/>
        <item x="515"/>
        <item x="95"/>
        <item x="516"/>
        <item x="517"/>
        <item x="96"/>
        <item x="518"/>
        <item x="97"/>
        <item x="519"/>
        <item x="98"/>
        <item x="99"/>
        <item x="100"/>
        <item x="520"/>
        <item x="521"/>
        <item x="522"/>
        <item x="101"/>
        <item x="523"/>
        <item x="524"/>
        <item x="525"/>
        <item x="526"/>
        <item x="102"/>
        <item x="527"/>
        <item x="528"/>
        <item x="529"/>
        <item x="103"/>
        <item x="104"/>
        <item x="530"/>
        <item x="105"/>
        <item x="106"/>
        <item x="107"/>
        <item x="108"/>
        <item x="531"/>
        <item x="532"/>
        <item x="109"/>
        <item x="110"/>
        <item x="533"/>
        <item x="534"/>
        <item x="535"/>
        <item x="536"/>
        <item x="537"/>
        <item x="111"/>
        <item x="538"/>
        <item x="112"/>
        <item x="539"/>
        <item x="113"/>
        <item x="114"/>
        <item x="540"/>
        <item x="541"/>
        <item x="542"/>
        <item x="115"/>
        <item x="116"/>
        <item x="543"/>
        <item x="117"/>
        <item x="544"/>
        <item x="118"/>
        <item x="119"/>
        <item x="545"/>
        <item x="120"/>
        <item x="121"/>
        <item x="546"/>
        <item x="547"/>
        <item x="548"/>
        <item x="122"/>
        <item x="549"/>
        <item x="550"/>
        <item x="551"/>
        <item x="123"/>
        <item x="552"/>
        <item x="553"/>
        <item x="554"/>
        <item x="555"/>
        <item x="124"/>
        <item x="556"/>
        <item x="557"/>
        <item x="558"/>
        <item x="559"/>
        <item x="125"/>
        <item x="560"/>
        <item x="561"/>
        <item x="562"/>
        <item x="126"/>
        <item x="563"/>
        <item x="564"/>
        <item x="565"/>
        <item x="127"/>
        <item x="566"/>
        <item x="128"/>
        <item x="567"/>
        <item x="129"/>
        <item x="130"/>
        <item x="568"/>
        <item x="131"/>
        <item x="569"/>
        <item x="570"/>
        <item x="571"/>
        <item x="572"/>
        <item x="132"/>
        <item x="573"/>
        <item x="574"/>
        <item x="575"/>
        <item x="576"/>
        <item x="577"/>
        <item x="578"/>
        <item x="579"/>
        <item x="580"/>
        <item x="581"/>
        <item x="582"/>
        <item x="133"/>
        <item x="134"/>
        <item x="135"/>
        <item x="136"/>
        <item x="137"/>
        <item x="138"/>
        <item x="583"/>
        <item x="584"/>
        <item x="139"/>
        <item x="140"/>
        <item x="141"/>
        <item x="585"/>
        <item x="142"/>
        <item x="586"/>
        <item x="587"/>
        <item x="588"/>
        <item x="589"/>
        <item x="590"/>
        <item x="591"/>
        <item x="143"/>
        <item x="144"/>
        <item x="592"/>
        <item x="145"/>
        <item x="146"/>
        <item x="147"/>
        <item x="593"/>
        <item x="594"/>
        <item x="595"/>
        <item x="148"/>
        <item x="596"/>
        <item x="597"/>
        <item x="149"/>
        <item x="150"/>
        <item x="151"/>
        <item x="598"/>
        <item x="599"/>
        <item x="152"/>
        <item x="600"/>
        <item x="153"/>
        <item x="601"/>
        <item x="602"/>
        <item x="603"/>
        <item x="604"/>
        <item x="605"/>
        <item x="606"/>
        <item x="607"/>
        <item x="154"/>
        <item x="155"/>
        <item x="608"/>
        <item x="156"/>
        <item x="609"/>
        <item x="610"/>
        <item x="157"/>
        <item x="611"/>
        <item x="612"/>
        <item x="158"/>
        <item x="159"/>
        <item x="160"/>
        <item x="613"/>
        <item x="161"/>
        <item x="614"/>
        <item x="615"/>
        <item x="616"/>
        <item x="617"/>
        <item x="162"/>
        <item x="163"/>
        <item x="164"/>
        <item x="618"/>
        <item x="165"/>
        <item x="619"/>
        <item x="620"/>
        <item x="621"/>
        <item x="622"/>
        <item x="166"/>
        <item x="167"/>
        <item x="623"/>
        <item x="624"/>
        <item x="168"/>
        <item x="169"/>
        <item x="625"/>
        <item x="170"/>
        <item x="626"/>
        <item x="627"/>
        <item x="171"/>
        <item x="628"/>
        <item x="172"/>
        <item x="173"/>
        <item x="174"/>
        <item x="175"/>
        <item x="176"/>
        <item x="629"/>
        <item x="177"/>
        <item x="630"/>
        <item x="178"/>
        <item x="631"/>
        <item x="179"/>
        <item x="180"/>
        <item x="632"/>
        <item x="181"/>
        <item x="633"/>
        <item x="182"/>
        <item x="634"/>
        <item x="635"/>
        <item x="183"/>
        <item x="636"/>
        <item x="637"/>
        <item x="638"/>
        <item x="184"/>
        <item x="185"/>
        <item x="639"/>
        <item x="186"/>
        <item x="187"/>
        <item x="188"/>
        <item x="640"/>
        <item x="189"/>
        <item x="641"/>
        <item x="642"/>
        <item x="643"/>
        <item x="644"/>
        <item x="190"/>
        <item x="645"/>
        <item x="646"/>
        <item x="191"/>
        <item x="647"/>
        <item x="192"/>
        <item x="648"/>
        <item x="649"/>
        <item x="650"/>
        <item x="651"/>
        <item x="193"/>
        <item x="652"/>
        <item x="653"/>
        <item x="194"/>
        <item x="654"/>
        <item x="655"/>
        <item x="656"/>
        <item x="195"/>
        <item x="657"/>
        <item x="196"/>
        <item x="658"/>
        <item x="659"/>
        <item x="660"/>
        <item x="661"/>
        <item x="662"/>
        <item x="197"/>
        <item x="198"/>
        <item x="199"/>
        <item x="663"/>
        <item x="200"/>
        <item x="664"/>
        <item x="665"/>
        <item x="666"/>
        <item x="201"/>
        <item x="667"/>
        <item x="668"/>
        <item x="669"/>
        <item x="670"/>
        <item x="202"/>
        <item x="203"/>
        <item x="671"/>
        <item x="204"/>
        <item x="205"/>
        <item x="672"/>
        <item x="206"/>
        <item x="673"/>
        <item x="207"/>
        <item x="208"/>
        <item x="674"/>
        <item x="675"/>
        <item x="209"/>
        <item x="676"/>
        <item x="210"/>
        <item x="677"/>
        <item x="211"/>
        <item x="678"/>
        <item x="679"/>
        <item x="680"/>
        <item x="212"/>
        <item x="681"/>
        <item x="682"/>
        <item x="683"/>
        <item x="684"/>
        <item x="213"/>
        <item x="214"/>
        <item x="215"/>
        <item x="216"/>
        <item x="685"/>
        <item x="686"/>
        <item x="217"/>
        <item x="218"/>
        <item x="687"/>
        <item x="219"/>
        <item x="688"/>
        <item x="689"/>
        <item x="220"/>
        <item x="690"/>
        <item x="691"/>
        <item x="221"/>
        <item x="692"/>
        <item x="693"/>
        <item x="694"/>
        <item x="695"/>
        <item x="222"/>
        <item x="223"/>
        <item x="696"/>
        <item x="224"/>
        <item x="225"/>
        <item x="226"/>
        <item x="697"/>
        <item x="698"/>
        <item x="227"/>
        <item x="699"/>
        <item x="700"/>
        <item x="701"/>
        <item x="702"/>
        <item x="703"/>
        <item x="704"/>
        <item x="705"/>
        <item x="228"/>
        <item x="229"/>
        <item x="706"/>
        <item x="707"/>
        <item x="708"/>
        <item x="230"/>
        <item x="231"/>
        <item x="709"/>
        <item x="710"/>
        <item x="711"/>
        <item x="232"/>
        <item x="233"/>
        <item x="234"/>
        <item x="235"/>
        <item x="236"/>
        <item x="712"/>
        <item x="713"/>
        <item x="714"/>
        <item x="237"/>
        <item x="715"/>
        <item x="716"/>
        <item x="238"/>
        <item x="239"/>
        <item x="240"/>
        <item x="717"/>
        <item x="241"/>
        <item x="242"/>
        <item x="243"/>
        <item x="718"/>
        <item x="719"/>
        <item x="720"/>
        <item x="721"/>
        <item x="722"/>
        <item x="723"/>
        <item x="244"/>
        <item x="724"/>
        <item x="245"/>
        <item x="725"/>
        <item x="246"/>
        <item x="726"/>
        <item x="727"/>
        <item x="728"/>
        <item x="729"/>
        <item x="730"/>
        <item x="247"/>
        <item x="731"/>
        <item x="732"/>
        <item x="248"/>
        <item x="733"/>
        <item x="249"/>
        <item x="250"/>
        <item x="734"/>
        <item x="735"/>
        <item x="251"/>
        <item x="736"/>
        <item x="737"/>
        <item x="738"/>
        <item x="739"/>
        <item x="740"/>
        <item x="252"/>
        <item x="741"/>
        <item x="253"/>
        <item x="742"/>
        <item x="254"/>
        <item x="743"/>
        <item x="744"/>
        <item x="745"/>
        <item x="255"/>
        <item x="746"/>
        <item x="747"/>
        <item x="256"/>
        <item x="748"/>
        <item x="749"/>
        <item x="257"/>
        <item x="258"/>
        <item x="750"/>
        <item x="259"/>
        <item x="751"/>
        <item x="752"/>
        <item x="260"/>
        <item x="261"/>
        <item x="753"/>
        <item x="754"/>
        <item x="262"/>
        <item x="755"/>
        <item x="756"/>
        <item x="757"/>
        <item x="758"/>
        <item x="263"/>
        <item x="759"/>
        <item x="264"/>
        <item x="760"/>
        <item x="265"/>
        <item x="761"/>
        <item x="266"/>
        <item x="267"/>
        <item x="268"/>
        <item x="269"/>
        <item x="762"/>
        <item x="270"/>
        <item x="271"/>
        <item x="763"/>
        <item x="272"/>
        <item x="273"/>
        <item x="764"/>
        <item x="765"/>
        <item x="766"/>
        <item x="767"/>
        <item x="274"/>
        <item x="275"/>
        <item x="768"/>
        <item x="276"/>
        <item x="277"/>
        <item x="769"/>
        <item x="278"/>
        <item x="770"/>
        <item x="279"/>
        <item x="280"/>
        <item x="281"/>
        <item x="282"/>
        <item x="283"/>
        <item x="771"/>
        <item x="772"/>
        <item x="773"/>
        <item x="284"/>
        <item x="774"/>
        <item x="285"/>
        <item x="286"/>
        <item x="287"/>
        <item x="775"/>
        <item x="776"/>
        <item x="288"/>
        <item x="289"/>
        <item x="777"/>
        <item x="778"/>
        <item x="779"/>
        <item x="780"/>
        <item x="290"/>
        <item x="781"/>
        <item x="291"/>
        <item x="292"/>
        <item x="293"/>
        <item x="782"/>
        <item x="294"/>
        <item x="783"/>
        <item x="295"/>
        <item x="784"/>
        <item x="785"/>
        <item x="296"/>
        <item x="786"/>
        <item x="787"/>
        <item x="788"/>
        <item x="789"/>
        <item x="297"/>
        <item x="298"/>
        <item x="299"/>
        <item x="790"/>
        <item x="300"/>
        <item x="301"/>
        <item x="302"/>
        <item x="791"/>
        <item x="792"/>
        <item x="303"/>
        <item x="793"/>
        <item x="794"/>
        <item x="304"/>
        <item x="305"/>
        <item x="795"/>
        <item x="306"/>
        <item x="796"/>
        <item x="797"/>
        <item x="307"/>
        <item x="308"/>
        <item x="798"/>
        <item x="799"/>
        <item x="800"/>
        <item x="309"/>
        <item x="801"/>
        <item x="802"/>
        <item x="803"/>
        <item x="804"/>
        <item x="805"/>
        <item x="806"/>
        <item x="310"/>
        <item x="807"/>
        <item x="808"/>
        <item x="311"/>
        <item x="312"/>
        <item x="809"/>
        <item x="313"/>
        <item x="810"/>
        <item x="314"/>
        <item x="811"/>
        <item x="812"/>
        <item x="813"/>
        <item x="814"/>
        <item x="815"/>
        <item x="816"/>
        <item x="315"/>
        <item x="817"/>
        <item x="818"/>
        <item x="316"/>
        <item x="819"/>
        <item x="820"/>
        <item x="821"/>
        <item x="317"/>
        <item x="822"/>
        <item x="823"/>
        <item x="824"/>
        <item x="825"/>
        <item x="826"/>
        <item x="827"/>
        <item x="828"/>
        <item x="829"/>
        <item x="830"/>
        <item x="318"/>
        <item x="319"/>
        <item x="831"/>
        <item x="832"/>
        <item x="320"/>
        <item x="833"/>
        <item x="834"/>
        <item x="321"/>
        <item x="322"/>
        <item x="323"/>
        <item x="835"/>
        <item x="836"/>
        <item x="324"/>
        <item x="837"/>
        <item x="838"/>
        <item x="839"/>
        <item x="840"/>
        <item x="841"/>
        <item x="325"/>
        <item x="326"/>
        <item x="842"/>
        <item x="843"/>
        <item x="844"/>
        <item x="845"/>
        <item x="846"/>
        <item x="847"/>
        <item x="848"/>
        <item x="327"/>
        <item x="849"/>
        <item x="850"/>
        <item x="328"/>
        <item x="851"/>
        <item x="329"/>
        <item x="852"/>
        <item x="853"/>
        <item x="854"/>
        <item x="855"/>
        <item x="330"/>
        <item x="331"/>
        <item x="856"/>
        <item x="857"/>
        <item x="858"/>
        <item x="859"/>
        <item x="860"/>
        <item x="861"/>
        <item x="332"/>
        <item x="333"/>
        <item x="862"/>
        <item x="334"/>
        <item x="335"/>
        <item x="863"/>
        <item x="336"/>
        <item x="864"/>
        <item x="337"/>
        <item x="338"/>
        <item x="865"/>
        <item x="866"/>
        <item x="867"/>
        <item x="339"/>
        <item x="868"/>
        <item x="869"/>
        <item x="870"/>
        <item x="871"/>
        <item x="340"/>
        <item x="872"/>
        <item x="873"/>
        <item x="874"/>
        <item x="341"/>
        <item x="342"/>
        <item x="875"/>
        <item x="876"/>
        <item x="343"/>
        <item x="877"/>
        <item x="878"/>
        <item x="344"/>
        <item x="345"/>
        <item x="879"/>
        <item x="880"/>
        <item x="346"/>
        <item x="881"/>
        <item x="882"/>
        <item x="347"/>
        <item x="348"/>
        <item x="883"/>
        <item x="884"/>
        <item x="349"/>
        <item x="885"/>
        <item x="886"/>
        <item x="887"/>
        <item x="888"/>
        <item x="889"/>
        <item x="890"/>
        <item x="891"/>
        <item x="892"/>
        <item x="350"/>
        <item x="893"/>
        <item x="351"/>
        <item x="352"/>
        <item x="894"/>
        <item x="895"/>
        <item x="353"/>
        <item x="896"/>
        <item x="897"/>
        <item x="898"/>
        <item x="899"/>
        <item x="354"/>
        <item x="900"/>
        <item x="901"/>
        <item x="902"/>
        <item x="903"/>
        <item x="904"/>
        <item x="905"/>
        <item x="906"/>
        <item x="355"/>
        <item x="356"/>
        <item x="357"/>
        <item x="907"/>
        <item x="358"/>
        <item x="908"/>
        <item x="909"/>
        <item x="910"/>
        <item x="359"/>
        <item x="360"/>
        <item x="911"/>
        <item x="361"/>
        <item x="362"/>
        <item x="912"/>
        <item x="913"/>
        <item x="914"/>
        <item x="915"/>
        <item x="363"/>
        <item x="916"/>
        <item x="917"/>
        <item x="364"/>
        <item x="365"/>
        <item x="366"/>
        <item x="918"/>
        <item x="367"/>
        <item x="919"/>
        <item x="368"/>
        <item x="369"/>
        <item x="920"/>
        <item x="370"/>
        <item x="921"/>
        <item x="922"/>
        <item x="923"/>
        <item x="924"/>
        <item x="925"/>
        <item x="371"/>
        <item x="372"/>
        <item x="926"/>
        <item x="927"/>
        <item x="373"/>
        <item x="928"/>
        <item x="929"/>
        <item x="374"/>
        <item x="375"/>
        <item x="376"/>
        <item x="930"/>
        <item x="377"/>
        <item x="378"/>
        <item x="931"/>
        <item x="379"/>
        <item x="932"/>
        <item x="933"/>
        <item x="934"/>
        <item x="380"/>
        <item x="381"/>
        <item x="382"/>
        <item x="935"/>
        <item x="383"/>
        <item x="936"/>
        <item x="384"/>
        <item x="385"/>
        <item x="386"/>
        <item x="937"/>
        <item x="387"/>
        <item x="938"/>
        <item x="939"/>
        <item x="940"/>
        <item x="941"/>
        <item x="942"/>
        <item x="943"/>
        <item x="944"/>
        <item x="945"/>
        <item x="388"/>
        <item x="389"/>
        <item x="946"/>
        <item x="390"/>
        <item x="947"/>
        <item x="391"/>
        <item x="392"/>
        <item x="393"/>
        <item x="948"/>
        <item x="394"/>
        <item t="default"/>
      </items>
    </pivotField>
    <pivotField numFmtId="165" showAll="0"/>
    <pivotField dataField="1" numFmtId="166" showAll="0"/>
    <pivotField showAll="0">
      <items count="14">
        <item x="8"/>
        <item x="6"/>
        <item x="12"/>
        <item x="2"/>
        <item x="0"/>
        <item x="5"/>
        <item x="1"/>
        <item x="7"/>
        <item x="9"/>
        <item x="3"/>
        <item x="10"/>
        <item x="11"/>
        <item x="4"/>
        <item t="default"/>
      </items>
    </pivotField>
    <pivotField showAll="0"/>
    <pivotField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Fields count="1">
    <field x="5"/>
  </rowFields>
  <rowItems count="3">
    <i>
      <x/>
    </i>
    <i>
      <x v="1"/>
    </i>
    <i t="grand">
      <x/>
    </i>
  </rowItems>
  <colItems count="1">
    <i/>
  </colItems>
  <dataFields count="1">
    <dataField name="Average of Bonus %" fld="11" subtotal="average" baseField="5" baseItem="0" numFmtId="166"/>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932DBD2-ED07-42C9-AF2D-AACF9772ADF8}" sourceName="Country">
  <pivotTables>
    <pivotTable tabId="25" name="PivotTable1"/>
    <pivotTable tabId="25" name="PivotTable2"/>
    <pivotTable tabId="25" name="PivotTable3"/>
    <pivotTable tabId="25" name="PivotTable6"/>
    <pivotTable tabId="25" name="PivotTable4"/>
    <pivotTable tabId="25" name="PivotTable5"/>
    <pivotTable tabId="25" name="PivotTable8"/>
    <pivotTable tabId="25" name="PivotTable9"/>
    <pivotTable tabId="25" name="PivotTable10"/>
    <pivotTable tabId="25" name="PivotTable11"/>
    <pivotTable tabId="25" name="PivotTable12"/>
  </pivotTables>
  <data>
    <tabular pivotCacheId="1232632530">
      <items count="13">
        <i x="8" s="1"/>
        <i x="6" s="1"/>
        <i x="12" s="1"/>
        <i x="2" s="1"/>
        <i x="0" s="1"/>
        <i x="5" s="1"/>
        <i x="1" s="1"/>
        <i x="7" s="1"/>
        <i x="9" s="1"/>
        <i x="3" s="1"/>
        <i x="10" s="1"/>
        <i x="1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2CF36E7-4850-475B-94D9-C02BCCE390A6}" sourceName="City">
  <pivotTables>
    <pivotTable tabId="25" name="PivotTable3"/>
    <pivotTable tabId="25" name="PivotTable1"/>
    <pivotTable tabId="25" name="PivotTable2"/>
    <pivotTable tabId="25" name="PivotTable4"/>
    <pivotTable tabId="25" name="PivotTable5"/>
    <pivotTable tabId="25" name="PivotTable6"/>
    <pivotTable tabId="25" name="PivotTable8"/>
    <pivotTable tabId="25" name="PivotTable9"/>
  </pivotTables>
  <data>
    <tabular pivotCacheId="1232632530">
      <items count="141">
        <i x="30" s="1"/>
        <i x="17" s="1"/>
        <i x="121" s="1"/>
        <i x="34" s="1"/>
        <i x="45" s="1"/>
        <i x="113" s="1"/>
        <i x="74" s="1"/>
        <i x="136" s="1"/>
        <i x="131" s="1"/>
        <i x="8" s="1"/>
        <i x="4" s="1"/>
        <i x="93" s="1"/>
        <i x="118" s="1"/>
        <i x="130" s="1"/>
        <i x="48" s="1"/>
        <i x="101" s="1"/>
        <i x="124" s="1"/>
        <i x="64" s="1"/>
        <i x="79" s="1"/>
        <i x="68" s="1"/>
        <i x="25" s="1"/>
        <i x="6" s="1"/>
        <i x="116" s="1"/>
        <i x="135" s="1"/>
        <i x="22" s="1"/>
        <i x="77" s="1"/>
        <i x="43" s="1"/>
        <i x="5" s="1"/>
        <i x="137" s="1"/>
        <i x="86" s="1"/>
        <i x="55" s="1"/>
        <i x="1" s="1"/>
        <i x="80" s="1"/>
        <i x="67" s="1"/>
        <i x="58" s="1"/>
        <i x="122" s="1"/>
        <i x="78" s="1"/>
        <i x="127" s="1"/>
        <i x="12" s="1"/>
        <i x="128" s="1"/>
        <i x="96" s="1"/>
        <i x="62" s="1"/>
        <i x="82" s="1"/>
        <i x="126" s="1"/>
        <i x="44" s="1"/>
        <i x="66" s="1"/>
        <i x="40" s="1"/>
        <i x="99" s="1"/>
        <i x="94" s="1"/>
        <i x="53" s="1"/>
        <i x="119" s="1"/>
        <i x="9" s="1"/>
        <i x="20" s="1"/>
        <i x="36" s="1"/>
        <i x="15" s="1"/>
        <i x="85" s="1"/>
        <i x="63" s="1"/>
        <i x="56" s="1"/>
        <i x="92" s="1"/>
        <i x="75" s="1"/>
        <i x="47" s="1"/>
        <i x="39" s="1"/>
        <i x="120" s="1"/>
        <i x="23" s="1"/>
        <i x="60" s="1"/>
        <i x="70" s="1"/>
        <i x="13" s="1"/>
        <i x="3" s="1"/>
        <i x="111" s="1"/>
        <i x="103" s="1"/>
        <i x="84" s="1"/>
        <i x="73" s="1"/>
        <i x="76" s="1"/>
        <i x="14" s="1"/>
        <i x="125" s="1"/>
        <i x="18" s="1"/>
        <i x="28" s="1"/>
        <i x="41" s="1"/>
        <i x="138" s="1"/>
        <i x="46" s="1"/>
        <i x="133" s="1"/>
        <i x="0" s="1"/>
        <i x="57" s="1"/>
        <i x="100" s="1"/>
        <i x="38" s="1"/>
        <i x="24" s="1"/>
        <i x="88" s="1"/>
        <i x="42" s="1"/>
        <i x="107" s="1"/>
        <i x="110" s="1"/>
        <i x="109" s="1"/>
        <i x="71" s="1"/>
        <i x="104" s="1"/>
        <i x="10" s="1"/>
        <i x="105" s="1"/>
        <i x="89" s="1"/>
        <i x="61" s="1"/>
        <i x="90" s="1"/>
        <i x="132" s="1"/>
        <i x="51" s="1"/>
        <i x="11" s="1"/>
        <i x="50" s="1"/>
        <i x="59" s="1"/>
        <i x="95" s="1"/>
        <i x="32" s="1"/>
        <i x="54" s="1"/>
        <i x="139" s="1"/>
        <i x="102" s="1"/>
        <i x="123" s="1"/>
        <i x="134" s="1"/>
        <i x="31" s="1"/>
        <i x="140" s="1"/>
        <i x="81" s="1"/>
        <i x="108" s="1"/>
        <i x="7" s="1"/>
        <i x="16" s="1"/>
        <i x="91" s="1"/>
        <i x="87" s="1"/>
        <i x="106" s="1"/>
        <i x="21" s="1"/>
        <i x="129" s="1"/>
        <i x="26" s="1"/>
        <i x="97" s="1"/>
        <i x="65" s="1"/>
        <i x="19" s="1"/>
        <i x="49" s="1"/>
        <i x="2" s="1"/>
        <i x="52" s="1"/>
        <i x="29" s="1"/>
        <i x="117" s="1"/>
        <i x="37" s="1"/>
        <i x="72" s="1"/>
        <i x="115" s="1"/>
        <i x="114" s="1"/>
        <i x="27" s="1"/>
        <i x="83" s="1"/>
        <i x="33" s="1"/>
        <i x="112" s="1"/>
        <i x="98" s="1"/>
        <i x="35" s="1"/>
        <i x="6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90CF82D-ACFD-4F37-98FA-B7A01D209E70}" cache="Slicer_Country" caption="Country" style="SlicerStyleDark1" rowHeight="251883"/>
  <slicer name="City" xr10:uid="{04673361-082E-46A1-82DF-1E2FB138A8FD}" cache="Slicer_City" caption="City" startItem="33" style="SlicerStyleDark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45B9B-0461-4820-AFE3-D62B88CA7A5E}">
  <sheetPr filterMode="1"/>
  <dimension ref="A1:O1004"/>
  <sheetViews>
    <sheetView tabSelected="1" topLeftCell="C1" workbookViewId="0">
      <selection sqref="A1:O1"/>
    </sheetView>
  </sheetViews>
  <sheetFormatPr defaultRowHeight="14.5" x14ac:dyDescent="0.35"/>
  <cols>
    <col min="2" max="2" width="11.36328125" customWidth="1"/>
    <col min="3" max="3" width="13.90625" customWidth="1"/>
    <col min="4" max="4" width="13.54296875" customWidth="1"/>
    <col min="5" max="5" width="16.54296875" customWidth="1"/>
    <col min="10" max="10" width="14.7265625" customWidth="1"/>
    <col min="11" max="11" width="13.1796875" bestFit="1" customWidth="1"/>
    <col min="12" max="12" width="12.1796875" customWidth="1"/>
    <col min="13" max="13" width="12" customWidth="1"/>
    <col min="15" max="15" width="13.54296875" customWidth="1"/>
  </cols>
  <sheetData>
    <row r="1" spans="1:15" x14ac:dyDescent="0.35">
      <c r="A1" s="14" t="s">
        <v>5</v>
      </c>
      <c r="B1" s="12" t="s">
        <v>6</v>
      </c>
      <c r="C1" s="12" t="s">
        <v>7</v>
      </c>
      <c r="D1" s="12" t="s">
        <v>0</v>
      </c>
      <c r="E1" s="12" t="s">
        <v>8</v>
      </c>
      <c r="F1" s="12" t="s">
        <v>9</v>
      </c>
      <c r="G1" s="12" t="s">
        <v>10</v>
      </c>
      <c r="H1" s="12" t="s">
        <v>11</v>
      </c>
      <c r="I1" s="12" t="s">
        <v>2046</v>
      </c>
      <c r="J1" s="12" t="s">
        <v>12</v>
      </c>
      <c r="K1" s="12" t="s">
        <v>4</v>
      </c>
      <c r="L1" s="12" t="s">
        <v>13</v>
      </c>
      <c r="M1" s="12" t="s">
        <v>14</v>
      </c>
      <c r="N1" s="12" t="s">
        <v>15</v>
      </c>
      <c r="O1" s="13" t="s">
        <v>16</v>
      </c>
    </row>
    <row r="2" spans="1:15" x14ac:dyDescent="0.35">
      <c r="A2" t="s">
        <v>17</v>
      </c>
      <c r="B2" s="1" t="s">
        <v>18</v>
      </c>
      <c r="C2" s="1" t="s">
        <v>19</v>
      </c>
      <c r="D2" s="1" t="s">
        <v>20</v>
      </c>
      <c r="E2" s="1" t="s">
        <v>21</v>
      </c>
      <c r="F2" s="1" t="s">
        <v>22</v>
      </c>
      <c r="G2" s="1" t="s">
        <v>23</v>
      </c>
      <c r="H2" s="1">
        <v>57</v>
      </c>
      <c r="I2" s="1" t="str">
        <f>IF(H2&gt;=60,"&gt;60",IF(H2&gt;=46,"46-60",IF(H2&gt;=31,"31-45",IF(H2&gt;18,"18-30",""))))</f>
        <v>46-60</v>
      </c>
      <c r="J2" s="3">
        <v>33612</v>
      </c>
      <c r="K2" s="4">
        <v>78000</v>
      </c>
      <c r="L2" s="5">
        <v>0.12</v>
      </c>
      <c r="M2" s="1" t="s">
        <v>24</v>
      </c>
      <c r="N2" s="1" t="s">
        <v>25</v>
      </c>
      <c r="O2" s="6" t="s">
        <v>26</v>
      </c>
    </row>
    <row r="3" spans="1:15" x14ac:dyDescent="0.35">
      <c r="A3" t="s">
        <v>27</v>
      </c>
      <c r="B3" s="1" t="s">
        <v>28</v>
      </c>
      <c r="C3" s="1" t="s">
        <v>29</v>
      </c>
      <c r="D3" s="1" t="s">
        <v>1</v>
      </c>
      <c r="E3" s="1" t="s">
        <v>30</v>
      </c>
      <c r="F3" s="1" t="s">
        <v>22</v>
      </c>
      <c r="G3" s="1" t="s">
        <v>23</v>
      </c>
      <c r="H3" s="1">
        <v>58</v>
      </c>
      <c r="I3" s="1" t="str">
        <f t="shared" ref="I3:I66" si="0">IF(H3&gt;=60,"&gt;60",IF(H3&gt;=46,"46-60",IF(H3&gt;=31,"31-45",IF(H3&gt;18,"18-30",""))))</f>
        <v>46-60</v>
      </c>
      <c r="J3" s="3">
        <v>33682</v>
      </c>
      <c r="K3" s="4">
        <v>61000</v>
      </c>
      <c r="L3" s="5">
        <v>0.13</v>
      </c>
      <c r="M3" s="1" t="s">
        <v>24</v>
      </c>
      <c r="N3" s="1" t="s">
        <v>31</v>
      </c>
      <c r="O3" s="6" t="s">
        <v>26</v>
      </c>
    </row>
    <row r="4" spans="1:15" x14ac:dyDescent="0.35">
      <c r="A4" t="s">
        <v>32</v>
      </c>
      <c r="B4" s="1" t="s">
        <v>33</v>
      </c>
      <c r="C4" s="1" t="s">
        <v>34</v>
      </c>
      <c r="D4" s="1" t="s">
        <v>3</v>
      </c>
      <c r="E4" s="1" t="s">
        <v>30</v>
      </c>
      <c r="F4" s="1" t="s">
        <v>35</v>
      </c>
      <c r="G4" s="1" t="s">
        <v>23</v>
      </c>
      <c r="H4" s="1">
        <v>57</v>
      </c>
      <c r="I4" s="1" t="str">
        <f t="shared" si="0"/>
        <v>46-60</v>
      </c>
      <c r="J4" s="3">
        <v>33728</v>
      </c>
      <c r="K4" s="4">
        <v>76202</v>
      </c>
      <c r="L4" s="5">
        <v>0.09</v>
      </c>
      <c r="M4" s="1" t="s">
        <v>36</v>
      </c>
      <c r="N4" s="1" t="s">
        <v>37</v>
      </c>
      <c r="O4" s="6">
        <v>34686</v>
      </c>
    </row>
    <row r="5" spans="1:15" x14ac:dyDescent="0.35">
      <c r="A5" t="s">
        <v>38</v>
      </c>
      <c r="B5" s="1" t="s">
        <v>39</v>
      </c>
      <c r="C5" s="1" t="s">
        <v>40</v>
      </c>
      <c r="D5" s="1" t="s">
        <v>20</v>
      </c>
      <c r="E5" s="1" t="s">
        <v>41</v>
      </c>
      <c r="F5" s="1" t="s">
        <v>22</v>
      </c>
      <c r="G5" s="1" t="s">
        <v>23</v>
      </c>
      <c r="H5" s="1">
        <v>60</v>
      </c>
      <c r="I5" s="1" t="str">
        <f t="shared" si="0"/>
        <v>&gt;60</v>
      </c>
      <c r="J5" s="3">
        <v>33890</v>
      </c>
      <c r="K5" s="4">
        <v>88213</v>
      </c>
      <c r="L5" s="5">
        <v>0.06</v>
      </c>
      <c r="M5" s="1" t="s">
        <v>24</v>
      </c>
      <c r="N5" s="1" t="s">
        <v>42</v>
      </c>
      <c r="O5" s="6" t="s">
        <v>26</v>
      </c>
    </row>
    <row r="6" spans="1:15" x14ac:dyDescent="0.35">
      <c r="A6" t="s">
        <v>43</v>
      </c>
      <c r="B6" s="1" t="s">
        <v>44</v>
      </c>
      <c r="C6" s="1" t="s">
        <v>45</v>
      </c>
      <c r="D6" s="1" t="s">
        <v>1</v>
      </c>
      <c r="E6" s="1" t="s">
        <v>21</v>
      </c>
      <c r="F6" s="1" t="s">
        <v>22</v>
      </c>
      <c r="G6" s="1" t="s">
        <v>23</v>
      </c>
      <c r="H6" s="1">
        <v>52</v>
      </c>
      <c r="I6" s="1" t="str">
        <f t="shared" si="0"/>
        <v>46-60</v>
      </c>
      <c r="J6" s="3">
        <v>34383</v>
      </c>
      <c r="K6" s="4">
        <v>99624</v>
      </c>
      <c r="L6" s="5">
        <v>0.14000000000000001</v>
      </c>
      <c r="M6" s="1" t="s">
        <v>46</v>
      </c>
      <c r="N6" s="1" t="s">
        <v>47</v>
      </c>
      <c r="O6" s="6" t="s">
        <v>26</v>
      </c>
    </row>
    <row r="7" spans="1:15" x14ac:dyDescent="0.35">
      <c r="A7" t="s">
        <v>48</v>
      </c>
      <c r="B7" s="1" t="s">
        <v>49</v>
      </c>
      <c r="C7" s="10" t="s">
        <v>50</v>
      </c>
      <c r="D7" s="1" t="s">
        <v>3</v>
      </c>
      <c r="E7" s="1" t="s">
        <v>30</v>
      </c>
      <c r="F7" s="1" t="s">
        <v>22</v>
      </c>
      <c r="G7" s="1" t="s">
        <v>23</v>
      </c>
      <c r="H7" s="1">
        <v>51</v>
      </c>
      <c r="I7" s="1" t="str">
        <f t="shared" si="0"/>
        <v>46-60</v>
      </c>
      <c r="J7" s="3">
        <v>34388</v>
      </c>
      <c r="K7" s="4">
        <v>122802</v>
      </c>
      <c r="L7" s="5">
        <v>0.08</v>
      </c>
      <c r="M7" s="1" t="s">
        <v>51</v>
      </c>
      <c r="N7" s="1" t="s">
        <v>52</v>
      </c>
      <c r="O7" s="6" t="s">
        <v>26</v>
      </c>
    </row>
    <row r="8" spans="1:15" x14ac:dyDescent="0.35">
      <c r="A8" t="s">
        <v>53</v>
      </c>
      <c r="B8" s="1" t="s">
        <v>54</v>
      </c>
      <c r="C8" s="1" t="s">
        <v>55</v>
      </c>
      <c r="D8" s="1" t="s">
        <v>56</v>
      </c>
      <c r="E8" s="1" t="s">
        <v>21</v>
      </c>
      <c r="F8" s="1" t="s">
        <v>35</v>
      </c>
      <c r="G8" s="1" t="s">
        <v>23</v>
      </c>
      <c r="H8" s="1">
        <v>58</v>
      </c>
      <c r="I8" s="1" t="str">
        <f t="shared" si="0"/>
        <v>46-60</v>
      </c>
      <c r="J8" s="3">
        <v>34567</v>
      </c>
      <c r="K8" s="4">
        <v>93102</v>
      </c>
      <c r="L8" s="5">
        <v>0.17</v>
      </c>
      <c r="M8" s="1" t="s">
        <v>24</v>
      </c>
      <c r="N8" s="1" t="s">
        <v>57</v>
      </c>
      <c r="O8" s="6">
        <v>41621</v>
      </c>
    </row>
    <row r="9" spans="1:15" x14ac:dyDescent="0.35">
      <c r="A9" t="s">
        <v>58</v>
      </c>
      <c r="B9" s="1" t="s">
        <v>59</v>
      </c>
      <c r="C9" s="10" t="s">
        <v>60</v>
      </c>
      <c r="D9" s="1" t="s">
        <v>61</v>
      </c>
      <c r="E9" s="1" t="s">
        <v>21</v>
      </c>
      <c r="F9" s="1" t="s">
        <v>22</v>
      </c>
      <c r="G9" s="1" t="s">
        <v>23</v>
      </c>
      <c r="H9" s="1">
        <v>55</v>
      </c>
      <c r="I9" s="1" t="str">
        <f t="shared" si="0"/>
        <v>46-60</v>
      </c>
      <c r="J9" s="3">
        <v>34595</v>
      </c>
      <c r="K9" s="4">
        <v>102270</v>
      </c>
      <c r="L9" s="5">
        <v>0.17</v>
      </c>
      <c r="M9" s="1" t="s">
        <v>46</v>
      </c>
      <c r="N9" s="1" t="s">
        <v>62</v>
      </c>
      <c r="O9" s="6" t="s">
        <v>26</v>
      </c>
    </row>
    <row r="10" spans="1:15" x14ac:dyDescent="0.35">
      <c r="A10" t="s">
        <v>63</v>
      </c>
      <c r="B10" s="1" t="s">
        <v>64</v>
      </c>
      <c r="C10" s="1" t="s">
        <v>65</v>
      </c>
      <c r="D10" s="1" t="s">
        <v>3</v>
      </c>
      <c r="E10" s="1" t="s">
        <v>30</v>
      </c>
      <c r="F10" s="1" t="s">
        <v>22</v>
      </c>
      <c r="G10" s="1" t="s">
        <v>23</v>
      </c>
      <c r="H10" s="1">
        <v>55</v>
      </c>
      <c r="I10" s="1" t="str">
        <f t="shared" si="0"/>
        <v>46-60</v>
      </c>
      <c r="J10" s="3">
        <v>34692</v>
      </c>
      <c r="K10" s="4">
        <v>99774</v>
      </c>
      <c r="L10" s="5">
        <v>0.06</v>
      </c>
      <c r="M10" s="1" t="s">
        <v>24</v>
      </c>
      <c r="N10" s="1" t="s">
        <v>66</v>
      </c>
      <c r="O10" s="6" t="s">
        <v>26</v>
      </c>
    </row>
    <row r="11" spans="1:15" x14ac:dyDescent="0.35">
      <c r="A11" t="s">
        <v>67</v>
      </c>
      <c r="B11" s="1" t="s">
        <v>68</v>
      </c>
      <c r="C11" s="1" t="s">
        <v>69</v>
      </c>
      <c r="D11" s="1" t="s">
        <v>20</v>
      </c>
      <c r="E11" s="1" t="s">
        <v>30</v>
      </c>
      <c r="F11" s="1" t="s">
        <v>35</v>
      </c>
      <c r="G11" s="1" t="s">
        <v>23</v>
      </c>
      <c r="H11" s="1">
        <v>55</v>
      </c>
      <c r="I11" s="1" t="str">
        <f t="shared" si="0"/>
        <v>46-60</v>
      </c>
      <c r="J11" s="3">
        <v>34915</v>
      </c>
      <c r="K11" s="4">
        <v>80701</v>
      </c>
      <c r="L11" s="5">
        <v>7.0000000000000007E-2</v>
      </c>
      <c r="M11" s="1" t="s">
        <v>24</v>
      </c>
      <c r="N11" s="1" t="s">
        <v>70</v>
      </c>
      <c r="O11" s="6">
        <v>38456</v>
      </c>
    </row>
    <row r="12" spans="1:15" x14ac:dyDescent="0.35">
      <c r="A12" t="s">
        <v>71</v>
      </c>
      <c r="B12" s="1" t="s">
        <v>72</v>
      </c>
      <c r="C12" s="1" t="s">
        <v>29</v>
      </c>
      <c r="D12" s="1" t="s">
        <v>20</v>
      </c>
      <c r="E12" s="1" t="s">
        <v>73</v>
      </c>
      <c r="F12" s="1" t="s">
        <v>22</v>
      </c>
      <c r="G12" s="1" t="s">
        <v>23</v>
      </c>
      <c r="H12" s="1">
        <v>64</v>
      </c>
      <c r="I12" s="1" t="str">
        <f t="shared" si="0"/>
        <v>&gt;60</v>
      </c>
      <c r="J12" s="3">
        <v>34940</v>
      </c>
      <c r="K12" s="4">
        <v>158787</v>
      </c>
      <c r="L12" s="5">
        <v>0.06</v>
      </c>
      <c r="M12" s="1" t="s">
        <v>36</v>
      </c>
      <c r="N12" s="1" t="s">
        <v>74</v>
      </c>
      <c r="O12" s="6" t="s">
        <v>26</v>
      </c>
    </row>
    <row r="13" spans="1:15" x14ac:dyDescent="0.35">
      <c r="A13" t="s">
        <v>75</v>
      </c>
      <c r="B13" s="1" t="s">
        <v>76</v>
      </c>
      <c r="C13" s="10" t="s">
        <v>60</v>
      </c>
      <c r="D13" s="1" t="s">
        <v>56</v>
      </c>
      <c r="E13" s="1" t="s">
        <v>41</v>
      </c>
      <c r="F13" s="1" t="s">
        <v>22</v>
      </c>
      <c r="G13" s="1" t="s">
        <v>23</v>
      </c>
      <c r="H13" s="1">
        <v>55</v>
      </c>
      <c r="I13" s="1" t="str">
        <f t="shared" si="0"/>
        <v>46-60</v>
      </c>
      <c r="J13" s="3">
        <v>35019</v>
      </c>
      <c r="K13" s="4">
        <v>125936</v>
      </c>
      <c r="L13" s="5">
        <v>0.11</v>
      </c>
      <c r="M13" s="1" t="s">
        <v>24</v>
      </c>
      <c r="N13" s="1" t="s">
        <v>77</v>
      </c>
      <c r="O13" s="6" t="s">
        <v>26</v>
      </c>
    </row>
    <row r="14" spans="1:15" x14ac:dyDescent="0.35">
      <c r="A14" t="s">
        <v>78</v>
      </c>
      <c r="B14" s="1" t="s">
        <v>79</v>
      </c>
      <c r="C14" s="1" t="s">
        <v>45</v>
      </c>
      <c r="D14" s="1" t="s">
        <v>80</v>
      </c>
      <c r="E14" s="1" t="s">
        <v>41</v>
      </c>
      <c r="F14" s="1" t="s">
        <v>22</v>
      </c>
      <c r="G14" s="1" t="s">
        <v>23</v>
      </c>
      <c r="H14" s="1">
        <v>55</v>
      </c>
      <c r="I14" s="1" t="str">
        <f t="shared" si="0"/>
        <v>46-60</v>
      </c>
      <c r="J14" s="3">
        <v>35023</v>
      </c>
      <c r="K14" s="4">
        <v>95409</v>
      </c>
      <c r="L14" s="5">
        <v>0.14000000000000001</v>
      </c>
      <c r="M14" s="1" t="s">
        <v>46</v>
      </c>
      <c r="N14" s="1" t="s">
        <v>81</v>
      </c>
      <c r="O14" s="6" t="s">
        <v>26</v>
      </c>
    </row>
    <row r="15" spans="1:15" x14ac:dyDescent="0.35">
      <c r="A15" t="s">
        <v>82</v>
      </c>
      <c r="B15" s="1" t="s">
        <v>83</v>
      </c>
      <c r="C15" s="1" t="s">
        <v>29</v>
      </c>
      <c r="D15" s="1" t="s">
        <v>3</v>
      </c>
      <c r="E15" s="1" t="s">
        <v>21</v>
      </c>
      <c r="F15" s="1" t="s">
        <v>35</v>
      </c>
      <c r="G15" s="1" t="s">
        <v>23</v>
      </c>
      <c r="H15" s="1">
        <v>52</v>
      </c>
      <c r="I15" s="1" t="str">
        <f t="shared" si="0"/>
        <v>46-60</v>
      </c>
      <c r="J15" s="3">
        <v>35109</v>
      </c>
      <c r="K15" s="4">
        <v>159724</v>
      </c>
      <c r="L15" s="5">
        <v>0.06</v>
      </c>
      <c r="M15" s="1" t="s">
        <v>24</v>
      </c>
      <c r="N15" s="1" t="s">
        <v>84</v>
      </c>
      <c r="O15" s="6" t="s">
        <v>26</v>
      </c>
    </row>
    <row r="16" spans="1:15" x14ac:dyDescent="0.35">
      <c r="A16" t="s">
        <v>85</v>
      </c>
      <c r="B16" s="1" t="s">
        <v>86</v>
      </c>
      <c r="C16" s="1" t="s">
        <v>29</v>
      </c>
      <c r="D16" s="1" t="s">
        <v>80</v>
      </c>
      <c r="E16" s="1" t="s">
        <v>21</v>
      </c>
      <c r="F16" s="1" t="s">
        <v>22</v>
      </c>
      <c r="G16" s="1" t="s">
        <v>23</v>
      </c>
      <c r="H16" s="1">
        <v>64</v>
      </c>
      <c r="I16" s="1" t="str">
        <f t="shared" si="0"/>
        <v>&gt;60</v>
      </c>
      <c r="J16" s="3">
        <v>35187</v>
      </c>
      <c r="K16" s="4">
        <v>189933</v>
      </c>
      <c r="L16" s="5">
        <v>0.12</v>
      </c>
      <c r="M16" s="1" t="s">
        <v>36</v>
      </c>
      <c r="N16" s="1" t="s">
        <v>87</v>
      </c>
      <c r="O16" s="6" t="s">
        <v>26</v>
      </c>
    </row>
    <row r="17" spans="1:15" x14ac:dyDescent="0.35">
      <c r="A17" t="s">
        <v>88</v>
      </c>
      <c r="B17" s="1" t="s">
        <v>89</v>
      </c>
      <c r="C17" s="1" t="s">
        <v>34</v>
      </c>
      <c r="D17" s="1" t="s">
        <v>3</v>
      </c>
      <c r="E17" s="1" t="s">
        <v>73</v>
      </c>
      <c r="F17" s="1" t="s">
        <v>35</v>
      </c>
      <c r="G17" s="1" t="s">
        <v>23</v>
      </c>
      <c r="H17" s="1">
        <v>56</v>
      </c>
      <c r="I17" s="1" t="str">
        <f t="shared" si="0"/>
        <v>46-60</v>
      </c>
      <c r="J17" s="3">
        <v>35238</v>
      </c>
      <c r="K17" s="4">
        <v>82806</v>
      </c>
      <c r="L17" s="5">
        <v>0.15</v>
      </c>
      <c r="M17" s="1" t="s">
        <v>24</v>
      </c>
      <c r="N17" s="1" t="s">
        <v>90</v>
      </c>
      <c r="O17" s="6" t="s">
        <v>26</v>
      </c>
    </row>
    <row r="18" spans="1:15" x14ac:dyDescent="0.35">
      <c r="A18" t="s">
        <v>91</v>
      </c>
      <c r="B18" s="1" t="s">
        <v>92</v>
      </c>
      <c r="C18" s="1" t="s">
        <v>19</v>
      </c>
      <c r="D18" s="1" t="s">
        <v>20</v>
      </c>
      <c r="E18" s="1" t="s">
        <v>73</v>
      </c>
      <c r="F18" s="1" t="s">
        <v>22</v>
      </c>
      <c r="G18" s="1" t="s">
        <v>23</v>
      </c>
      <c r="H18" s="1">
        <v>64</v>
      </c>
      <c r="I18" s="1" t="str">
        <f t="shared" si="0"/>
        <v>&gt;60</v>
      </c>
      <c r="J18" s="3">
        <v>35403</v>
      </c>
      <c r="K18" s="4">
        <v>99354</v>
      </c>
      <c r="L18" s="5">
        <v>0.16</v>
      </c>
      <c r="M18" s="1" t="s">
        <v>46</v>
      </c>
      <c r="N18" s="1" t="s">
        <v>93</v>
      </c>
      <c r="O18" s="6" t="s">
        <v>26</v>
      </c>
    </row>
    <row r="19" spans="1:15" x14ac:dyDescent="0.35">
      <c r="A19" t="s">
        <v>94</v>
      </c>
      <c r="B19" s="1" t="s">
        <v>95</v>
      </c>
      <c r="C19" s="1" t="s">
        <v>60</v>
      </c>
      <c r="D19" s="1" t="s">
        <v>56</v>
      </c>
      <c r="E19" s="1" t="s">
        <v>73</v>
      </c>
      <c r="F19" s="1" t="s">
        <v>22</v>
      </c>
      <c r="G19" s="1" t="s">
        <v>23</v>
      </c>
      <c r="H19" s="1">
        <v>54</v>
      </c>
      <c r="I19" s="1" t="str">
        <f t="shared" si="0"/>
        <v>46-60</v>
      </c>
      <c r="J19" s="3">
        <v>35500</v>
      </c>
      <c r="K19" s="4">
        <v>128136</v>
      </c>
      <c r="L19" s="5">
        <v>0.15</v>
      </c>
      <c r="M19" s="1" t="s">
        <v>24</v>
      </c>
      <c r="N19" s="1" t="s">
        <v>96</v>
      </c>
      <c r="O19" s="6" t="s">
        <v>26</v>
      </c>
    </row>
    <row r="20" spans="1:15" x14ac:dyDescent="0.35">
      <c r="A20" t="s">
        <v>97</v>
      </c>
      <c r="B20" s="1" t="s">
        <v>98</v>
      </c>
      <c r="C20" s="1" t="s">
        <v>45</v>
      </c>
      <c r="D20" s="1" t="s">
        <v>1</v>
      </c>
      <c r="E20" s="1" t="s">
        <v>73</v>
      </c>
      <c r="F20" s="1" t="s">
        <v>22</v>
      </c>
      <c r="G20" s="1" t="s">
        <v>23</v>
      </c>
      <c r="H20" s="1">
        <v>59</v>
      </c>
      <c r="I20" s="1" t="str">
        <f t="shared" si="0"/>
        <v>46-60</v>
      </c>
      <c r="J20" s="3">
        <v>35502</v>
      </c>
      <c r="K20" s="4">
        <v>83685</v>
      </c>
      <c r="L20" s="5">
        <v>0.16</v>
      </c>
      <c r="M20" s="1" t="s">
        <v>24</v>
      </c>
      <c r="N20" s="1" t="s">
        <v>99</v>
      </c>
      <c r="O20" s="6" t="s">
        <v>26</v>
      </c>
    </row>
    <row r="21" spans="1:15" x14ac:dyDescent="0.35">
      <c r="A21" t="s">
        <v>100</v>
      </c>
      <c r="B21" s="1" t="s">
        <v>101</v>
      </c>
      <c r="C21" s="1" t="s">
        <v>102</v>
      </c>
      <c r="D21" s="1" t="s">
        <v>3</v>
      </c>
      <c r="E21" s="1" t="s">
        <v>41</v>
      </c>
      <c r="F21" s="1" t="s">
        <v>35</v>
      </c>
      <c r="G21" s="1" t="s">
        <v>23</v>
      </c>
      <c r="H21" s="1">
        <v>53</v>
      </c>
      <c r="I21" s="1" t="str">
        <f t="shared" si="0"/>
        <v>46-60</v>
      </c>
      <c r="J21" s="3">
        <v>35532</v>
      </c>
      <c r="K21" s="4">
        <v>154388</v>
      </c>
      <c r="L21" s="5">
        <v>0.15</v>
      </c>
      <c r="M21" s="1" t="s">
        <v>46</v>
      </c>
      <c r="N21" s="1" t="s">
        <v>103</v>
      </c>
      <c r="O21" s="6" t="s">
        <v>26</v>
      </c>
    </row>
    <row r="22" spans="1:15" x14ac:dyDescent="0.35">
      <c r="A22" t="s">
        <v>104</v>
      </c>
      <c r="B22" s="1" t="s">
        <v>105</v>
      </c>
      <c r="C22" s="1" t="s">
        <v>106</v>
      </c>
      <c r="D22" s="1" t="s">
        <v>56</v>
      </c>
      <c r="E22" s="1" t="s">
        <v>73</v>
      </c>
      <c r="F22" s="1" t="s">
        <v>22</v>
      </c>
      <c r="G22" s="1" t="s">
        <v>23</v>
      </c>
      <c r="H22" s="1">
        <v>57</v>
      </c>
      <c r="I22" s="1" t="str">
        <f t="shared" si="0"/>
        <v>46-60</v>
      </c>
      <c r="J22" s="3">
        <v>35548</v>
      </c>
      <c r="K22" s="4">
        <v>54051</v>
      </c>
      <c r="L22" s="5">
        <v>0.11</v>
      </c>
      <c r="M22" s="1" t="s">
        <v>24</v>
      </c>
      <c r="N22" s="1" t="s">
        <v>107</v>
      </c>
      <c r="O22" s="6">
        <v>36079</v>
      </c>
    </row>
    <row r="23" spans="1:15" x14ac:dyDescent="0.35">
      <c r="A23" t="s">
        <v>108</v>
      </c>
      <c r="B23" s="1" t="s">
        <v>109</v>
      </c>
      <c r="C23" s="1" t="s">
        <v>110</v>
      </c>
      <c r="D23" s="1" t="s">
        <v>80</v>
      </c>
      <c r="E23" s="1" t="s">
        <v>21</v>
      </c>
      <c r="F23" s="1" t="s">
        <v>22</v>
      </c>
      <c r="G23" s="1" t="s">
        <v>23</v>
      </c>
      <c r="H23" s="1">
        <v>52</v>
      </c>
      <c r="I23" s="1" t="str">
        <f t="shared" si="0"/>
        <v>46-60</v>
      </c>
      <c r="J23" s="3">
        <v>35576</v>
      </c>
      <c r="K23" s="4">
        <v>216999</v>
      </c>
      <c r="L23" s="5">
        <v>0.05</v>
      </c>
      <c r="M23" s="1" t="s">
        <v>24</v>
      </c>
      <c r="N23" s="1" t="s">
        <v>111</v>
      </c>
      <c r="O23" s="6" t="s">
        <v>26</v>
      </c>
    </row>
    <row r="24" spans="1:15" x14ac:dyDescent="0.35">
      <c r="A24" t="s">
        <v>112</v>
      </c>
      <c r="B24" s="1" t="s">
        <v>113</v>
      </c>
      <c r="C24" s="1" t="s">
        <v>29</v>
      </c>
      <c r="D24" s="1" t="s">
        <v>61</v>
      </c>
      <c r="E24" s="1" t="s">
        <v>73</v>
      </c>
      <c r="F24" s="1" t="s">
        <v>35</v>
      </c>
      <c r="G24" s="1" t="s">
        <v>23</v>
      </c>
      <c r="H24" s="1">
        <v>53</v>
      </c>
      <c r="I24" s="1" t="str">
        <f t="shared" si="0"/>
        <v>46-60</v>
      </c>
      <c r="J24" s="3">
        <v>35601</v>
      </c>
      <c r="K24" s="4">
        <v>164399</v>
      </c>
      <c r="L24" s="5">
        <v>0.08</v>
      </c>
      <c r="M24" s="1" t="s">
        <v>46</v>
      </c>
      <c r="N24" s="1" t="s">
        <v>114</v>
      </c>
      <c r="O24" s="6" t="s">
        <v>26</v>
      </c>
    </row>
    <row r="25" spans="1:15" x14ac:dyDescent="0.35">
      <c r="A25" t="s">
        <v>115</v>
      </c>
      <c r="B25" s="1" t="s">
        <v>116</v>
      </c>
      <c r="C25" s="1" t="s">
        <v>34</v>
      </c>
      <c r="D25" s="1" t="s">
        <v>3</v>
      </c>
      <c r="E25" s="1" t="s">
        <v>41</v>
      </c>
      <c r="F25" s="1" t="s">
        <v>22</v>
      </c>
      <c r="G25" s="1" t="s">
        <v>23</v>
      </c>
      <c r="H25" s="1">
        <v>59</v>
      </c>
      <c r="I25" s="1" t="str">
        <f t="shared" si="0"/>
        <v>46-60</v>
      </c>
      <c r="J25" s="3">
        <v>35763</v>
      </c>
      <c r="K25" s="4">
        <v>99975</v>
      </c>
      <c r="L25" s="5">
        <v>0.06</v>
      </c>
      <c r="M25" s="1" t="s">
        <v>24</v>
      </c>
      <c r="N25" s="1" t="s">
        <v>117</v>
      </c>
      <c r="O25" s="6" t="s">
        <v>26</v>
      </c>
    </row>
    <row r="26" spans="1:15" x14ac:dyDescent="0.35">
      <c r="A26" t="s">
        <v>118</v>
      </c>
      <c r="B26" s="1" t="s">
        <v>119</v>
      </c>
      <c r="C26" s="1" t="s">
        <v>110</v>
      </c>
      <c r="D26" s="1" t="s">
        <v>61</v>
      </c>
      <c r="E26" s="1" t="s">
        <v>73</v>
      </c>
      <c r="F26" s="1" t="s">
        <v>35</v>
      </c>
      <c r="G26" s="1" t="s">
        <v>23</v>
      </c>
      <c r="H26" s="1">
        <v>52</v>
      </c>
      <c r="I26" s="1" t="str">
        <f t="shared" si="0"/>
        <v>46-60</v>
      </c>
      <c r="J26" s="3">
        <v>35886</v>
      </c>
      <c r="K26" s="4">
        <v>182035</v>
      </c>
      <c r="L26" s="5">
        <v>0.16</v>
      </c>
      <c r="M26" s="1" t="s">
        <v>24</v>
      </c>
      <c r="N26" s="1" t="s">
        <v>120</v>
      </c>
      <c r="O26" s="6" t="s">
        <v>26</v>
      </c>
    </row>
    <row r="27" spans="1:15" x14ac:dyDescent="0.35">
      <c r="A27" t="s">
        <v>121</v>
      </c>
      <c r="B27" s="1" t="s">
        <v>122</v>
      </c>
      <c r="C27" s="1" t="s">
        <v>123</v>
      </c>
      <c r="D27" s="1" t="s">
        <v>3</v>
      </c>
      <c r="E27" s="1" t="s">
        <v>30</v>
      </c>
      <c r="F27" s="1" t="s">
        <v>22</v>
      </c>
      <c r="G27" s="1" t="s">
        <v>23</v>
      </c>
      <c r="H27" s="1">
        <v>54</v>
      </c>
      <c r="I27" s="1" t="str">
        <f t="shared" si="0"/>
        <v>46-60</v>
      </c>
      <c r="J27" s="3">
        <v>35961</v>
      </c>
      <c r="K27" s="4">
        <v>95239</v>
      </c>
      <c r="L27" s="5">
        <v>0.1</v>
      </c>
      <c r="M27" s="1" t="s">
        <v>46</v>
      </c>
      <c r="N27" s="1" t="s">
        <v>124</v>
      </c>
      <c r="O27" s="6" t="s">
        <v>26</v>
      </c>
    </row>
    <row r="28" spans="1:15" x14ac:dyDescent="0.35">
      <c r="A28" t="s">
        <v>125</v>
      </c>
      <c r="B28" s="1" t="s">
        <v>126</v>
      </c>
      <c r="C28" s="1" t="s">
        <v>60</v>
      </c>
      <c r="D28" s="1" t="s">
        <v>80</v>
      </c>
      <c r="E28" s="1" t="s">
        <v>41</v>
      </c>
      <c r="F28" s="1" t="s">
        <v>22</v>
      </c>
      <c r="G28" s="1" t="s">
        <v>23</v>
      </c>
      <c r="H28" s="1">
        <v>64</v>
      </c>
      <c r="I28" s="1" t="str">
        <f t="shared" si="0"/>
        <v>&gt;60</v>
      </c>
      <c r="J28" s="3">
        <v>35996</v>
      </c>
      <c r="K28" s="4">
        <v>122753</v>
      </c>
      <c r="L28" s="5">
        <v>7.0000000000000007E-2</v>
      </c>
      <c r="M28" s="1" t="s">
        <v>24</v>
      </c>
      <c r="N28" s="1" t="s">
        <v>127</v>
      </c>
      <c r="O28" s="6" t="s">
        <v>26</v>
      </c>
    </row>
    <row r="29" spans="1:15" x14ac:dyDescent="0.35">
      <c r="A29" t="s">
        <v>128</v>
      </c>
      <c r="B29" s="1" t="s">
        <v>129</v>
      </c>
      <c r="C29" s="1" t="s">
        <v>130</v>
      </c>
      <c r="D29" s="1" t="s">
        <v>20</v>
      </c>
      <c r="E29" s="1" t="s">
        <v>30</v>
      </c>
      <c r="F29" s="1" t="s">
        <v>22</v>
      </c>
      <c r="G29" s="1" t="s">
        <v>23</v>
      </c>
      <c r="H29" s="1">
        <v>55</v>
      </c>
      <c r="I29" s="1" t="str">
        <f t="shared" si="0"/>
        <v>46-60</v>
      </c>
      <c r="J29" s="3">
        <v>36041</v>
      </c>
      <c r="K29" s="4">
        <v>86299</v>
      </c>
      <c r="L29" s="5">
        <v>0.13</v>
      </c>
      <c r="M29" s="1" t="s">
        <v>46</v>
      </c>
      <c r="N29" s="1" t="s">
        <v>131</v>
      </c>
      <c r="O29" s="6" t="s">
        <v>26</v>
      </c>
    </row>
    <row r="30" spans="1:15" x14ac:dyDescent="0.35">
      <c r="A30" t="s">
        <v>132</v>
      </c>
      <c r="B30" s="1" t="s">
        <v>133</v>
      </c>
      <c r="C30" s="1" t="s">
        <v>29</v>
      </c>
      <c r="D30" s="1" t="s">
        <v>61</v>
      </c>
      <c r="E30" s="1" t="s">
        <v>21</v>
      </c>
      <c r="F30" s="1" t="s">
        <v>22</v>
      </c>
      <c r="G30" s="1" t="s">
        <v>23</v>
      </c>
      <c r="H30" s="1">
        <v>49</v>
      </c>
      <c r="I30" s="1" t="str">
        <f t="shared" si="0"/>
        <v>46-60</v>
      </c>
      <c r="J30" s="3">
        <v>36210</v>
      </c>
      <c r="K30" s="4">
        <v>191807</v>
      </c>
      <c r="L30" s="5">
        <v>7.0000000000000007E-2</v>
      </c>
      <c r="M30" s="1" t="s">
        <v>24</v>
      </c>
      <c r="N30" s="1" t="s">
        <v>134</v>
      </c>
      <c r="O30" s="6" t="s">
        <v>26</v>
      </c>
    </row>
    <row r="31" spans="1:15" x14ac:dyDescent="0.35">
      <c r="A31" t="s">
        <v>135</v>
      </c>
      <c r="B31" s="1" t="s">
        <v>136</v>
      </c>
      <c r="C31" s="1" t="s">
        <v>137</v>
      </c>
      <c r="D31" s="1" t="s">
        <v>3</v>
      </c>
      <c r="E31" s="1" t="s">
        <v>73</v>
      </c>
      <c r="F31" s="1" t="s">
        <v>22</v>
      </c>
      <c r="G31" s="1" t="s">
        <v>23</v>
      </c>
      <c r="H31" s="1">
        <v>47</v>
      </c>
      <c r="I31" s="1" t="str">
        <f t="shared" si="0"/>
        <v>46-60</v>
      </c>
      <c r="J31" s="3">
        <v>36229</v>
      </c>
      <c r="K31" s="4">
        <v>49404</v>
      </c>
      <c r="L31" s="5">
        <v>0.15</v>
      </c>
      <c r="M31" s="1" t="s">
        <v>24</v>
      </c>
      <c r="N31" s="1" t="s">
        <v>138</v>
      </c>
      <c r="O31" s="6" t="s">
        <v>26</v>
      </c>
    </row>
    <row r="32" spans="1:15" x14ac:dyDescent="0.35">
      <c r="A32" t="s">
        <v>139</v>
      </c>
      <c r="B32" s="1" t="s">
        <v>140</v>
      </c>
      <c r="C32" s="1" t="s">
        <v>19</v>
      </c>
      <c r="D32" s="1" t="s">
        <v>20</v>
      </c>
      <c r="E32" s="1" t="s">
        <v>30</v>
      </c>
      <c r="F32" s="1" t="s">
        <v>22</v>
      </c>
      <c r="G32" s="1" t="s">
        <v>23</v>
      </c>
      <c r="H32" s="1">
        <v>57</v>
      </c>
      <c r="I32" s="1" t="str">
        <f t="shared" si="0"/>
        <v>46-60</v>
      </c>
      <c r="J32" s="3">
        <v>36275</v>
      </c>
      <c r="K32" s="4">
        <v>95061</v>
      </c>
      <c r="L32" s="5">
        <v>0.12</v>
      </c>
      <c r="M32" s="1" t="s">
        <v>24</v>
      </c>
      <c r="N32" s="1" t="s">
        <v>141</v>
      </c>
      <c r="O32" s="6" t="s">
        <v>26</v>
      </c>
    </row>
    <row r="33" spans="1:15" x14ac:dyDescent="0.35">
      <c r="A33" t="s">
        <v>142</v>
      </c>
      <c r="B33" s="1" t="s">
        <v>143</v>
      </c>
      <c r="C33" s="1" t="s">
        <v>144</v>
      </c>
      <c r="D33" s="1" t="s">
        <v>61</v>
      </c>
      <c r="E33" s="1" t="s">
        <v>41</v>
      </c>
      <c r="F33" s="1" t="s">
        <v>22</v>
      </c>
      <c r="G33" s="1" t="s">
        <v>23</v>
      </c>
      <c r="H33" s="1">
        <v>52</v>
      </c>
      <c r="I33" s="1" t="str">
        <f t="shared" si="0"/>
        <v>46-60</v>
      </c>
      <c r="J33" s="3">
        <v>36303</v>
      </c>
      <c r="K33" s="4">
        <v>68807</v>
      </c>
      <c r="L33" s="5">
        <v>0.1</v>
      </c>
      <c r="M33" s="1" t="s">
        <v>36</v>
      </c>
      <c r="N33" s="1" t="s">
        <v>145</v>
      </c>
      <c r="O33" s="6">
        <v>42338</v>
      </c>
    </row>
    <row r="34" spans="1:15" x14ac:dyDescent="0.35">
      <c r="A34" t="s">
        <v>146</v>
      </c>
      <c r="B34" s="1" t="s">
        <v>147</v>
      </c>
      <c r="C34" s="1" t="s">
        <v>60</v>
      </c>
      <c r="D34" s="1" t="s">
        <v>80</v>
      </c>
      <c r="E34" s="1" t="s">
        <v>41</v>
      </c>
      <c r="F34" s="1" t="s">
        <v>22</v>
      </c>
      <c r="G34" s="1" t="s">
        <v>23</v>
      </c>
      <c r="H34" s="1">
        <v>52</v>
      </c>
      <c r="I34" s="1" t="str">
        <f t="shared" si="0"/>
        <v>46-60</v>
      </c>
      <c r="J34" s="3">
        <v>36523</v>
      </c>
      <c r="K34" s="4">
        <v>116527</v>
      </c>
      <c r="L34" s="5">
        <v>0.08</v>
      </c>
      <c r="M34" s="1" t="s">
        <v>24</v>
      </c>
      <c r="N34" s="1" t="s">
        <v>148</v>
      </c>
      <c r="O34" s="6" t="s">
        <v>26</v>
      </c>
    </row>
    <row r="35" spans="1:15" x14ac:dyDescent="0.35">
      <c r="A35" t="s">
        <v>149</v>
      </c>
      <c r="B35" s="1" t="s">
        <v>150</v>
      </c>
      <c r="C35" s="1" t="s">
        <v>45</v>
      </c>
      <c r="D35" s="1" t="s">
        <v>80</v>
      </c>
      <c r="E35" s="1" t="s">
        <v>73</v>
      </c>
      <c r="F35" s="1" t="s">
        <v>35</v>
      </c>
      <c r="G35" s="1" t="s">
        <v>23</v>
      </c>
      <c r="H35" s="1">
        <v>63</v>
      </c>
      <c r="I35" s="1" t="str">
        <f t="shared" si="0"/>
        <v>&gt;60</v>
      </c>
      <c r="J35" s="3">
        <v>36525</v>
      </c>
      <c r="K35" s="4">
        <v>89523</v>
      </c>
      <c r="L35" s="5">
        <v>0.12</v>
      </c>
      <c r="M35" s="1" t="s">
        <v>24</v>
      </c>
      <c r="N35" s="1" t="s">
        <v>117</v>
      </c>
      <c r="O35" s="6" t="s">
        <v>26</v>
      </c>
    </row>
    <row r="36" spans="1:15" x14ac:dyDescent="0.35">
      <c r="A36" t="s">
        <v>151</v>
      </c>
      <c r="B36" s="1" t="s">
        <v>152</v>
      </c>
      <c r="C36" s="1" t="s">
        <v>60</v>
      </c>
      <c r="D36" s="1" t="s">
        <v>3</v>
      </c>
      <c r="E36" s="1" t="s">
        <v>30</v>
      </c>
      <c r="F36" s="1" t="s">
        <v>22</v>
      </c>
      <c r="G36" s="1" t="s">
        <v>23</v>
      </c>
      <c r="H36" s="1">
        <v>60</v>
      </c>
      <c r="I36" s="1" t="str">
        <f t="shared" si="0"/>
        <v>&gt;60</v>
      </c>
      <c r="J36" s="3">
        <v>36554</v>
      </c>
      <c r="K36" s="4">
        <v>109059</v>
      </c>
      <c r="L36" s="5">
        <v>0.16</v>
      </c>
      <c r="M36" s="1" t="s">
        <v>46</v>
      </c>
      <c r="N36" s="1" t="s">
        <v>153</v>
      </c>
      <c r="O36" s="6" t="s">
        <v>26</v>
      </c>
    </row>
    <row r="37" spans="1:15" x14ac:dyDescent="0.35">
      <c r="A37" t="s">
        <v>154</v>
      </c>
      <c r="B37" s="1" t="s">
        <v>155</v>
      </c>
      <c r="C37" s="1" t="s">
        <v>65</v>
      </c>
      <c r="D37" s="1" t="s">
        <v>3</v>
      </c>
      <c r="E37" s="1" t="s">
        <v>30</v>
      </c>
      <c r="F37" s="1" t="s">
        <v>22</v>
      </c>
      <c r="G37" s="1" t="s">
        <v>23</v>
      </c>
      <c r="H37" s="1">
        <v>45</v>
      </c>
      <c r="I37" s="1" t="str">
        <f t="shared" si="0"/>
        <v>31-45</v>
      </c>
      <c r="J37" s="3">
        <v>36587</v>
      </c>
      <c r="K37" s="4">
        <v>91276</v>
      </c>
      <c r="L37" s="5">
        <v>0.14000000000000001</v>
      </c>
      <c r="M37" s="1" t="s">
        <v>24</v>
      </c>
      <c r="N37" s="1" t="s">
        <v>156</v>
      </c>
      <c r="O37" s="6" t="s">
        <v>26</v>
      </c>
    </row>
    <row r="38" spans="1:15" x14ac:dyDescent="0.35">
      <c r="A38" t="s">
        <v>157</v>
      </c>
      <c r="B38" s="1" t="s">
        <v>158</v>
      </c>
      <c r="C38" s="1" t="s">
        <v>60</v>
      </c>
      <c r="D38" s="1" t="s">
        <v>1</v>
      </c>
      <c r="E38" s="1" t="s">
        <v>21</v>
      </c>
      <c r="F38" s="1" t="s">
        <v>35</v>
      </c>
      <c r="G38" s="1" t="s">
        <v>23</v>
      </c>
      <c r="H38" s="1">
        <v>50</v>
      </c>
      <c r="I38" s="1" t="str">
        <f t="shared" si="0"/>
        <v>46-60</v>
      </c>
      <c r="J38" s="3">
        <v>36653</v>
      </c>
      <c r="K38" s="4">
        <v>106428</v>
      </c>
      <c r="L38" s="5">
        <v>0.17</v>
      </c>
      <c r="M38" s="1" t="s">
        <v>36</v>
      </c>
      <c r="N38" s="1" t="s">
        <v>159</v>
      </c>
      <c r="O38" s="6" t="s">
        <v>26</v>
      </c>
    </row>
    <row r="39" spans="1:15" x14ac:dyDescent="0.35">
      <c r="A39" t="s">
        <v>160</v>
      </c>
      <c r="B39" s="1" t="s">
        <v>161</v>
      </c>
      <c r="C39" s="1" t="s">
        <v>162</v>
      </c>
      <c r="D39" s="1" t="s">
        <v>1</v>
      </c>
      <c r="E39" s="1" t="s">
        <v>73</v>
      </c>
      <c r="F39" s="1" t="s">
        <v>35</v>
      </c>
      <c r="G39" s="1" t="s">
        <v>23</v>
      </c>
      <c r="H39" s="1">
        <v>45</v>
      </c>
      <c r="I39" s="1" t="str">
        <f t="shared" si="0"/>
        <v>31-45</v>
      </c>
      <c r="J39" s="3">
        <v>36754</v>
      </c>
      <c r="K39" s="4">
        <v>60113</v>
      </c>
      <c r="L39" s="5">
        <v>7.0000000000000007E-2</v>
      </c>
      <c r="M39" s="1" t="s">
        <v>24</v>
      </c>
      <c r="N39" s="1" t="s">
        <v>163</v>
      </c>
      <c r="O39" s="6" t="s">
        <v>26</v>
      </c>
    </row>
    <row r="40" spans="1:15" x14ac:dyDescent="0.35">
      <c r="A40" t="s">
        <v>164</v>
      </c>
      <c r="B40" s="1" t="s">
        <v>165</v>
      </c>
      <c r="C40" s="1" t="s">
        <v>106</v>
      </c>
      <c r="D40" s="1" t="s">
        <v>56</v>
      </c>
      <c r="E40" s="1" t="s">
        <v>21</v>
      </c>
      <c r="F40" s="1" t="s">
        <v>35</v>
      </c>
      <c r="G40" s="1" t="s">
        <v>23</v>
      </c>
      <c r="H40" s="1">
        <v>45</v>
      </c>
      <c r="I40" s="1" t="str">
        <f t="shared" si="0"/>
        <v>31-45</v>
      </c>
      <c r="J40" s="3">
        <v>36755</v>
      </c>
      <c r="K40" s="4">
        <v>55563</v>
      </c>
      <c r="L40" s="5">
        <v>0.08</v>
      </c>
      <c r="M40" s="1" t="s">
        <v>24</v>
      </c>
      <c r="N40" s="1" t="s">
        <v>166</v>
      </c>
      <c r="O40" s="6" t="s">
        <v>26</v>
      </c>
    </row>
    <row r="41" spans="1:15" x14ac:dyDescent="0.35">
      <c r="A41" t="s">
        <v>167</v>
      </c>
      <c r="B41" s="1" t="s">
        <v>168</v>
      </c>
      <c r="C41" s="1" t="s">
        <v>169</v>
      </c>
      <c r="D41" s="1" t="s">
        <v>3</v>
      </c>
      <c r="E41" s="1" t="s">
        <v>73</v>
      </c>
      <c r="F41" s="1" t="s">
        <v>22</v>
      </c>
      <c r="G41" s="1" t="s">
        <v>23</v>
      </c>
      <c r="H41" s="1">
        <v>61</v>
      </c>
      <c r="I41" s="1" t="str">
        <f t="shared" si="0"/>
        <v>&gt;60</v>
      </c>
      <c r="J41" s="3">
        <v>36793</v>
      </c>
      <c r="K41" s="4">
        <v>40063</v>
      </c>
      <c r="L41" s="5">
        <v>0.16</v>
      </c>
      <c r="M41" s="1" t="s">
        <v>36</v>
      </c>
      <c r="N41" s="1" t="s">
        <v>170</v>
      </c>
      <c r="O41" s="6" t="s">
        <v>26</v>
      </c>
    </row>
    <row r="42" spans="1:15" x14ac:dyDescent="0.35">
      <c r="A42" t="s">
        <v>171</v>
      </c>
      <c r="B42" s="1" t="s">
        <v>172</v>
      </c>
      <c r="C42" s="1" t="s">
        <v>102</v>
      </c>
      <c r="D42" s="1" t="s">
        <v>61</v>
      </c>
      <c r="E42" s="1" t="s">
        <v>30</v>
      </c>
      <c r="F42" s="1" t="s">
        <v>35</v>
      </c>
      <c r="G42" s="1" t="s">
        <v>23</v>
      </c>
      <c r="H42" s="1">
        <v>65</v>
      </c>
      <c r="I42" s="1" t="str">
        <f t="shared" si="0"/>
        <v>&gt;60</v>
      </c>
      <c r="J42" s="3">
        <v>36823</v>
      </c>
      <c r="K42" s="4">
        <v>149417</v>
      </c>
      <c r="L42" s="5">
        <v>0.09</v>
      </c>
      <c r="M42" s="1" t="s">
        <v>24</v>
      </c>
      <c r="N42" s="1" t="s">
        <v>173</v>
      </c>
      <c r="O42" s="6" t="s">
        <v>26</v>
      </c>
    </row>
    <row r="43" spans="1:15" x14ac:dyDescent="0.35">
      <c r="A43" t="s">
        <v>174</v>
      </c>
      <c r="B43" s="1" t="s">
        <v>175</v>
      </c>
      <c r="C43" s="1" t="s">
        <v>29</v>
      </c>
      <c r="D43" s="1" t="s">
        <v>80</v>
      </c>
      <c r="E43" s="1" t="s">
        <v>21</v>
      </c>
      <c r="F43" s="1" t="s">
        <v>35</v>
      </c>
      <c r="G43" s="1" t="s">
        <v>23</v>
      </c>
      <c r="H43" s="1">
        <v>63</v>
      </c>
      <c r="I43" s="1" t="str">
        <f t="shared" si="0"/>
        <v>&gt;60</v>
      </c>
      <c r="J43" s="3">
        <v>36826</v>
      </c>
      <c r="K43" s="4">
        <v>155320</v>
      </c>
      <c r="L43" s="5">
        <v>0.17</v>
      </c>
      <c r="M43" s="1" t="s">
        <v>46</v>
      </c>
      <c r="N43" s="1" t="s">
        <v>176</v>
      </c>
      <c r="O43" s="6" t="s">
        <v>26</v>
      </c>
    </row>
    <row r="44" spans="1:15" x14ac:dyDescent="0.35">
      <c r="A44" t="s">
        <v>177</v>
      </c>
      <c r="B44" s="1" t="s">
        <v>178</v>
      </c>
      <c r="C44" s="1" t="s">
        <v>179</v>
      </c>
      <c r="D44" s="1" t="s">
        <v>3</v>
      </c>
      <c r="E44" s="1" t="s">
        <v>41</v>
      </c>
      <c r="F44" s="1" t="s">
        <v>35</v>
      </c>
      <c r="G44" s="1" t="s">
        <v>23</v>
      </c>
      <c r="H44" s="1">
        <v>50</v>
      </c>
      <c r="I44" s="1" t="str">
        <f t="shared" si="0"/>
        <v>46-60</v>
      </c>
      <c r="J44" s="3">
        <v>36914</v>
      </c>
      <c r="K44" s="4">
        <v>97537</v>
      </c>
      <c r="L44" s="5">
        <v>0.12</v>
      </c>
      <c r="M44" s="1" t="s">
        <v>24</v>
      </c>
      <c r="N44" s="1" t="s">
        <v>180</v>
      </c>
      <c r="O44" s="6" t="s">
        <v>26</v>
      </c>
    </row>
    <row r="45" spans="1:15" x14ac:dyDescent="0.35">
      <c r="A45" t="s">
        <v>181</v>
      </c>
      <c r="B45" s="1" t="s">
        <v>182</v>
      </c>
      <c r="C45" s="1" t="s">
        <v>183</v>
      </c>
      <c r="D45" s="1" t="s">
        <v>3</v>
      </c>
      <c r="E45" s="1" t="s">
        <v>41</v>
      </c>
      <c r="F45" s="1" t="s">
        <v>22</v>
      </c>
      <c r="G45" s="1" t="s">
        <v>23</v>
      </c>
      <c r="H45" s="1">
        <v>50</v>
      </c>
      <c r="I45" s="1" t="str">
        <f t="shared" si="0"/>
        <v>46-60</v>
      </c>
      <c r="J45" s="3">
        <v>36956</v>
      </c>
      <c r="K45" s="4">
        <v>73907</v>
      </c>
      <c r="L45" s="5">
        <v>0.16</v>
      </c>
      <c r="M45" s="1" t="s">
        <v>46</v>
      </c>
      <c r="N45" s="1" t="s">
        <v>184</v>
      </c>
      <c r="O45" s="6" t="s">
        <v>26</v>
      </c>
    </row>
    <row r="46" spans="1:15" x14ac:dyDescent="0.35">
      <c r="A46" t="s">
        <v>185</v>
      </c>
      <c r="B46" s="1" t="s">
        <v>186</v>
      </c>
      <c r="C46" s="1" t="s">
        <v>102</v>
      </c>
      <c r="D46" s="1" t="s">
        <v>187</v>
      </c>
      <c r="E46" s="1" t="s">
        <v>41</v>
      </c>
      <c r="F46" s="1" t="s">
        <v>35</v>
      </c>
      <c r="G46" s="1" t="s">
        <v>23</v>
      </c>
      <c r="H46" s="1">
        <v>49</v>
      </c>
      <c r="I46" s="1" t="str">
        <f t="shared" si="0"/>
        <v>46-60</v>
      </c>
      <c r="J46" s="3">
        <v>36983</v>
      </c>
      <c r="K46" s="4">
        <v>129124</v>
      </c>
      <c r="L46" s="5">
        <v>0.05</v>
      </c>
      <c r="M46" s="1" t="s">
        <v>24</v>
      </c>
      <c r="N46" s="1" t="s">
        <v>188</v>
      </c>
      <c r="O46" s="6" t="s">
        <v>26</v>
      </c>
    </row>
    <row r="47" spans="1:15" x14ac:dyDescent="0.35">
      <c r="A47" t="s">
        <v>189</v>
      </c>
      <c r="B47" s="1" t="s">
        <v>190</v>
      </c>
      <c r="C47" s="1" t="s">
        <v>130</v>
      </c>
      <c r="D47" s="1" t="s">
        <v>20</v>
      </c>
      <c r="E47" s="1" t="s">
        <v>21</v>
      </c>
      <c r="F47" s="1" t="s">
        <v>35</v>
      </c>
      <c r="G47" s="1" t="s">
        <v>23</v>
      </c>
      <c r="H47" s="1">
        <v>59</v>
      </c>
      <c r="I47" s="1" t="str">
        <f t="shared" si="0"/>
        <v>46-60</v>
      </c>
      <c r="J47" s="3">
        <v>36990</v>
      </c>
      <c r="K47" s="4">
        <v>119699</v>
      </c>
      <c r="L47" s="5">
        <v>0.15</v>
      </c>
      <c r="M47" s="1" t="s">
        <v>46</v>
      </c>
      <c r="N47" s="1" t="s">
        <v>191</v>
      </c>
      <c r="O47" s="6" t="s">
        <v>26</v>
      </c>
    </row>
    <row r="48" spans="1:15" x14ac:dyDescent="0.35">
      <c r="A48" t="s">
        <v>192</v>
      </c>
      <c r="B48" s="1" t="s">
        <v>193</v>
      </c>
      <c r="C48" s="1" t="s">
        <v>19</v>
      </c>
      <c r="D48" s="1" t="s">
        <v>20</v>
      </c>
      <c r="E48" s="1" t="s">
        <v>30</v>
      </c>
      <c r="F48" s="1" t="s">
        <v>22</v>
      </c>
      <c r="G48" s="1" t="s">
        <v>23</v>
      </c>
      <c r="H48" s="1">
        <v>45</v>
      </c>
      <c r="I48" s="1" t="str">
        <f t="shared" si="0"/>
        <v>31-45</v>
      </c>
      <c r="J48" s="3">
        <v>36993</v>
      </c>
      <c r="K48" s="4">
        <v>95743</v>
      </c>
      <c r="L48" s="5">
        <v>0.06</v>
      </c>
      <c r="M48" s="1" t="s">
        <v>24</v>
      </c>
      <c r="N48" s="1" t="s">
        <v>194</v>
      </c>
      <c r="O48" s="6">
        <v>40193</v>
      </c>
    </row>
    <row r="49" spans="1:15" x14ac:dyDescent="0.35">
      <c r="A49" t="s">
        <v>195</v>
      </c>
      <c r="B49" s="1" t="s">
        <v>196</v>
      </c>
      <c r="C49" s="1" t="s">
        <v>102</v>
      </c>
      <c r="D49" s="1" t="s">
        <v>61</v>
      </c>
      <c r="E49" s="1" t="s">
        <v>21</v>
      </c>
      <c r="F49" s="1" t="s">
        <v>22</v>
      </c>
      <c r="G49" s="1" t="s">
        <v>23</v>
      </c>
      <c r="H49" s="1">
        <v>45</v>
      </c>
      <c r="I49" s="1" t="str">
        <f t="shared" si="0"/>
        <v>31-45</v>
      </c>
      <c r="J49" s="3">
        <v>37014</v>
      </c>
      <c r="K49" s="4">
        <v>147752</v>
      </c>
      <c r="L49" s="5">
        <v>0.11</v>
      </c>
      <c r="M49" s="1" t="s">
        <v>24</v>
      </c>
      <c r="N49" s="1" t="s">
        <v>197</v>
      </c>
      <c r="O49" s="6">
        <v>40903</v>
      </c>
    </row>
    <row r="50" spans="1:15" x14ac:dyDescent="0.35">
      <c r="A50" t="s">
        <v>198</v>
      </c>
      <c r="B50" s="1" t="s">
        <v>199</v>
      </c>
      <c r="C50" s="1" t="s">
        <v>69</v>
      </c>
      <c r="D50" s="1" t="s">
        <v>20</v>
      </c>
      <c r="E50" s="1" t="s">
        <v>41</v>
      </c>
      <c r="F50" s="1" t="s">
        <v>35</v>
      </c>
      <c r="G50" s="1" t="s">
        <v>23</v>
      </c>
      <c r="H50" s="1">
        <v>46</v>
      </c>
      <c r="I50" s="1" t="str">
        <f t="shared" si="0"/>
        <v>46-60</v>
      </c>
      <c r="J50" s="3">
        <v>37041</v>
      </c>
      <c r="K50" s="4">
        <v>90678</v>
      </c>
      <c r="L50" s="5">
        <v>0.13</v>
      </c>
      <c r="M50" s="1" t="s">
        <v>46</v>
      </c>
      <c r="N50" s="1" t="s">
        <v>200</v>
      </c>
      <c r="O50" s="6" t="s">
        <v>26</v>
      </c>
    </row>
    <row r="51" spans="1:15" x14ac:dyDescent="0.35">
      <c r="A51" t="s">
        <v>201</v>
      </c>
      <c r="B51" s="1" t="s">
        <v>202</v>
      </c>
      <c r="C51" s="1" t="s">
        <v>29</v>
      </c>
      <c r="D51" s="1" t="s">
        <v>1</v>
      </c>
      <c r="E51" s="1" t="s">
        <v>21</v>
      </c>
      <c r="F51" s="1" t="s">
        <v>22</v>
      </c>
      <c r="G51" s="1" t="s">
        <v>23</v>
      </c>
      <c r="H51" s="1">
        <v>49</v>
      </c>
      <c r="I51" s="1" t="str">
        <f t="shared" si="0"/>
        <v>46-60</v>
      </c>
      <c r="J51" s="3">
        <v>37092</v>
      </c>
      <c r="K51" s="4">
        <v>199176</v>
      </c>
      <c r="L51" s="5">
        <v>0.12</v>
      </c>
      <c r="M51" s="1" t="s">
        <v>24</v>
      </c>
      <c r="N51" s="1" t="s">
        <v>203</v>
      </c>
      <c r="O51" s="6" t="s">
        <v>26</v>
      </c>
    </row>
    <row r="52" spans="1:15" x14ac:dyDescent="0.35">
      <c r="A52" t="s">
        <v>204</v>
      </c>
      <c r="B52" s="1" t="s">
        <v>205</v>
      </c>
      <c r="C52" s="1" t="s">
        <v>102</v>
      </c>
      <c r="D52" s="1" t="s">
        <v>80</v>
      </c>
      <c r="E52" s="1" t="s">
        <v>30</v>
      </c>
      <c r="F52" s="1" t="s">
        <v>35</v>
      </c>
      <c r="G52" s="1" t="s">
        <v>23</v>
      </c>
      <c r="H52" s="1">
        <v>48</v>
      </c>
      <c r="I52" s="1" t="str">
        <f t="shared" si="0"/>
        <v>46-60</v>
      </c>
      <c r="J52" s="3">
        <v>37144</v>
      </c>
      <c r="K52" s="4">
        <v>125730</v>
      </c>
      <c r="L52" s="5">
        <v>0.12</v>
      </c>
      <c r="M52" s="1" t="s">
        <v>24</v>
      </c>
      <c r="N52" s="1" t="s">
        <v>206</v>
      </c>
      <c r="O52" s="6" t="s">
        <v>26</v>
      </c>
    </row>
    <row r="53" spans="1:15" x14ac:dyDescent="0.35">
      <c r="A53" t="s">
        <v>207</v>
      </c>
      <c r="B53" s="1" t="s">
        <v>208</v>
      </c>
      <c r="C53" s="1" t="s">
        <v>144</v>
      </c>
      <c r="D53" s="1" t="s">
        <v>61</v>
      </c>
      <c r="E53" s="1" t="s">
        <v>21</v>
      </c>
      <c r="F53" s="1" t="s">
        <v>22</v>
      </c>
      <c r="G53" s="1" t="s">
        <v>23</v>
      </c>
      <c r="H53" s="1">
        <v>65</v>
      </c>
      <c r="I53" s="1" t="str">
        <f t="shared" si="0"/>
        <v>&gt;60</v>
      </c>
      <c r="J53" s="3">
        <v>37181</v>
      </c>
      <c r="K53" s="4">
        <v>74631</v>
      </c>
      <c r="L53" s="5">
        <v>0.12</v>
      </c>
      <c r="M53" s="1" t="s">
        <v>46</v>
      </c>
      <c r="N53" s="1" t="s">
        <v>209</v>
      </c>
      <c r="O53" s="6" t="s">
        <v>26</v>
      </c>
    </row>
    <row r="54" spans="1:15" x14ac:dyDescent="0.35">
      <c r="A54" t="s">
        <v>210</v>
      </c>
      <c r="B54" s="1" t="s">
        <v>211</v>
      </c>
      <c r="C54" s="1" t="s">
        <v>45</v>
      </c>
      <c r="D54" s="1" t="s">
        <v>61</v>
      </c>
      <c r="E54" s="1" t="s">
        <v>30</v>
      </c>
      <c r="F54" s="1" t="s">
        <v>35</v>
      </c>
      <c r="G54" s="1" t="s">
        <v>23</v>
      </c>
      <c r="H54" s="1">
        <v>46</v>
      </c>
      <c r="I54" s="1" t="str">
        <f t="shared" si="0"/>
        <v>46-60</v>
      </c>
      <c r="J54" s="3">
        <v>37271</v>
      </c>
      <c r="K54" s="4">
        <v>86510</v>
      </c>
      <c r="L54" s="5">
        <v>0.17</v>
      </c>
      <c r="M54" s="1" t="s">
        <v>24</v>
      </c>
      <c r="N54" s="1" t="s">
        <v>212</v>
      </c>
      <c r="O54" s="6">
        <v>37623</v>
      </c>
    </row>
    <row r="55" spans="1:15" x14ac:dyDescent="0.35">
      <c r="A55" t="s">
        <v>213</v>
      </c>
      <c r="B55" s="1" t="s">
        <v>214</v>
      </c>
      <c r="C55" s="1" t="s">
        <v>102</v>
      </c>
      <c r="D55" s="1" t="s">
        <v>80</v>
      </c>
      <c r="E55" s="1" t="s">
        <v>41</v>
      </c>
      <c r="F55" s="1" t="s">
        <v>22</v>
      </c>
      <c r="G55" s="1" t="s">
        <v>23</v>
      </c>
      <c r="H55" s="1">
        <v>63</v>
      </c>
      <c r="I55" s="1" t="str">
        <f t="shared" si="0"/>
        <v>&gt;60</v>
      </c>
      <c r="J55" s="3">
        <v>37295</v>
      </c>
      <c r="K55" s="4">
        <v>128703</v>
      </c>
      <c r="L55" s="5">
        <v>0.08</v>
      </c>
      <c r="M55" s="1" t="s">
        <v>24</v>
      </c>
      <c r="N55" s="1" t="s">
        <v>215</v>
      </c>
      <c r="O55" s="6" t="s">
        <v>26</v>
      </c>
    </row>
    <row r="56" spans="1:15" x14ac:dyDescent="0.35">
      <c r="A56" t="s">
        <v>216</v>
      </c>
      <c r="B56" s="1" t="s">
        <v>217</v>
      </c>
      <c r="C56" s="1" t="s">
        <v>29</v>
      </c>
      <c r="D56" s="1" t="s">
        <v>80</v>
      </c>
      <c r="E56" s="1" t="s">
        <v>30</v>
      </c>
      <c r="F56" s="1" t="s">
        <v>35</v>
      </c>
      <c r="G56" s="1" t="s">
        <v>23</v>
      </c>
      <c r="H56" s="1">
        <v>53</v>
      </c>
      <c r="I56" s="1" t="str">
        <f t="shared" si="0"/>
        <v>46-60</v>
      </c>
      <c r="J56" s="3">
        <v>37304</v>
      </c>
      <c r="K56" s="4">
        <v>179494</v>
      </c>
      <c r="L56" s="5">
        <v>0.15</v>
      </c>
      <c r="M56" s="1" t="s">
        <v>218</v>
      </c>
      <c r="N56" s="1" t="s">
        <v>219</v>
      </c>
      <c r="O56" s="6" t="s">
        <v>26</v>
      </c>
    </row>
    <row r="57" spans="1:15" x14ac:dyDescent="0.35">
      <c r="A57" t="s">
        <v>220</v>
      </c>
      <c r="B57" s="1" t="s">
        <v>221</v>
      </c>
      <c r="C57" s="1" t="s">
        <v>29</v>
      </c>
      <c r="D57" s="1" t="s">
        <v>1</v>
      </c>
      <c r="E57" s="1" t="s">
        <v>21</v>
      </c>
      <c r="F57" s="1" t="s">
        <v>35</v>
      </c>
      <c r="G57" s="1" t="s">
        <v>23</v>
      </c>
      <c r="H57" s="1">
        <v>45</v>
      </c>
      <c r="I57" s="1" t="str">
        <f t="shared" si="0"/>
        <v>31-45</v>
      </c>
      <c r="J57" s="3">
        <v>37316</v>
      </c>
      <c r="K57" s="4">
        <v>165181</v>
      </c>
      <c r="L57" s="5">
        <v>0.09</v>
      </c>
      <c r="M57" s="1" t="s">
        <v>24</v>
      </c>
      <c r="N57" s="1" t="s">
        <v>222</v>
      </c>
      <c r="O57" s="6" t="s">
        <v>26</v>
      </c>
    </row>
    <row r="58" spans="1:15" x14ac:dyDescent="0.35">
      <c r="A58" t="s">
        <v>223</v>
      </c>
      <c r="B58" s="1" t="s">
        <v>224</v>
      </c>
      <c r="C58" s="1" t="s">
        <v>2</v>
      </c>
      <c r="D58" s="1" t="s">
        <v>80</v>
      </c>
      <c r="E58" s="1" t="s">
        <v>41</v>
      </c>
      <c r="F58" s="1" t="s">
        <v>35</v>
      </c>
      <c r="G58" s="1" t="s">
        <v>23</v>
      </c>
      <c r="H58" s="1">
        <v>55</v>
      </c>
      <c r="I58" s="1" t="str">
        <f t="shared" si="0"/>
        <v>46-60</v>
      </c>
      <c r="J58" s="3">
        <v>37343</v>
      </c>
      <c r="K58" s="4">
        <v>50475</v>
      </c>
      <c r="L58" s="5">
        <v>0.06</v>
      </c>
      <c r="M58" s="1" t="s">
        <v>46</v>
      </c>
      <c r="N58" s="1" t="s">
        <v>225</v>
      </c>
      <c r="O58" s="6" t="s">
        <v>26</v>
      </c>
    </row>
    <row r="59" spans="1:15" x14ac:dyDescent="0.35">
      <c r="A59" t="s">
        <v>226</v>
      </c>
      <c r="B59" s="1" t="s">
        <v>227</v>
      </c>
      <c r="C59" s="1" t="s">
        <v>34</v>
      </c>
      <c r="D59" s="1" t="s">
        <v>3</v>
      </c>
      <c r="E59" s="1" t="s">
        <v>41</v>
      </c>
      <c r="F59" s="1" t="s">
        <v>35</v>
      </c>
      <c r="G59" s="1" t="s">
        <v>23</v>
      </c>
      <c r="H59" s="1">
        <v>45</v>
      </c>
      <c r="I59" s="1" t="str">
        <f t="shared" si="0"/>
        <v>31-45</v>
      </c>
      <c r="J59" s="3">
        <v>37445</v>
      </c>
      <c r="K59" s="4">
        <v>92655</v>
      </c>
      <c r="L59" s="5">
        <v>0.08</v>
      </c>
      <c r="M59" s="1" t="s">
        <v>24</v>
      </c>
      <c r="N59" s="1" t="s">
        <v>228</v>
      </c>
      <c r="O59" s="6" t="s">
        <v>26</v>
      </c>
    </row>
    <row r="60" spans="1:15" x14ac:dyDescent="0.35">
      <c r="A60" t="s">
        <v>229</v>
      </c>
      <c r="B60" s="1" t="s">
        <v>230</v>
      </c>
      <c r="C60" s="1" t="s">
        <v>29</v>
      </c>
      <c r="D60" s="1" t="s">
        <v>1</v>
      </c>
      <c r="E60" s="1" t="s">
        <v>21</v>
      </c>
      <c r="F60" s="1" t="s">
        <v>22</v>
      </c>
      <c r="G60" s="1" t="s">
        <v>23</v>
      </c>
      <c r="H60" s="1">
        <v>45</v>
      </c>
      <c r="I60" s="1" t="str">
        <f t="shared" si="0"/>
        <v>31-45</v>
      </c>
      <c r="J60" s="3">
        <v>37446</v>
      </c>
      <c r="K60" s="4">
        <v>166331</v>
      </c>
      <c r="L60" s="5">
        <v>0.12</v>
      </c>
      <c r="M60" s="1" t="s">
        <v>24</v>
      </c>
      <c r="N60" s="1" t="s">
        <v>231</v>
      </c>
      <c r="O60" s="6" t="s">
        <v>26</v>
      </c>
    </row>
    <row r="61" spans="1:15" x14ac:dyDescent="0.35">
      <c r="A61" t="s">
        <v>232</v>
      </c>
      <c r="B61" s="1" t="s">
        <v>233</v>
      </c>
      <c r="C61" s="1" t="s">
        <v>234</v>
      </c>
      <c r="D61" s="1" t="s">
        <v>20</v>
      </c>
      <c r="E61" s="1" t="s">
        <v>41</v>
      </c>
      <c r="F61" s="1" t="s">
        <v>35</v>
      </c>
      <c r="G61" s="1" t="s">
        <v>23</v>
      </c>
      <c r="H61" s="1">
        <v>50</v>
      </c>
      <c r="I61" s="1" t="str">
        <f t="shared" si="0"/>
        <v>46-60</v>
      </c>
      <c r="J61" s="3">
        <v>37446</v>
      </c>
      <c r="K61" s="4">
        <v>92209</v>
      </c>
      <c r="L61" s="5">
        <v>0.09</v>
      </c>
      <c r="M61" s="1" t="s">
        <v>46</v>
      </c>
      <c r="N61" s="1" t="s">
        <v>235</v>
      </c>
      <c r="O61" s="6" t="s">
        <v>26</v>
      </c>
    </row>
    <row r="62" spans="1:15" x14ac:dyDescent="0.35">
      <c r="A62" t="s">
        <v>236</v>
      </c>
      <c r="B62" s="1" t="s">
        <v>237</v>
      </c>
      <c r="C62" s="1" t="s">
        <v>2</v>
      </c>
      <c r="D62" s="1" t="s">
        <v>80</v>
      </c>
      <c r="E62" s="1" t="s">
        <v>73</v>
      </c>
      <c r="F62" s="1" t="s">
        <v>35</v>
      </c>
      <c r="G62" s="1" t="s">
        <v>23</v>
      </c>
      <c r="H62" s="1">
        <v>62</v>
      </c>
      <c r="I62" s="1" t="str">
        <f t="shared" si="0"/>
        <v>&gt;60</v>
      </c>
      <c r="J62" s="3">
        <v>37519</v>
      </c>
      <c r="K62" s="4">
        <v>49738</v>
      </c>
      <c r="L62" s="5">
        <v>7.0000000000000007E-2</v>
      </c>
      <c r="M62" s="1" t="s">
        <v>24</v>
      </c>
      <c r="N62" s="1" t="s">
        <v>238</v>
      </c>
      <c r="O62" s="6" t="s">
        <v>26</v>
      </c>
    </row>
    <row r="63" spans="1:15" x14ac:dyDescent="0.35">
      <c r="A63" t="s">
        <v>239</v>
      </c>
      <c r="B63" s="1" t="s">
        <v>240</v>
      </c>
      <c r="C63" s="1" t="s">
        <v>55</v>
      </c>
      <c r="D63" s="1" t="s">
        <v>56</v>
      </c>
      <c r="E63" s="1" t="s">
        <v>21</v>
      </c>
      <c r="F63" s="1" t="s">
        <v>22</v>
      </c>
      <c r="G63" s="1" t="s">
        <v>23</v>
      </c>
      <c r="H63" s="1">
        <v>53</v>
      </c>
      <c r="I63" s="1" t="str">
        <f t="shared" si="0"/>
        <v>46-60</v>
      </c>
      <c r="J63" s="3">
        <v>37576</v>
      </c>
      <c r="K63" s="4">
        <v>95998</v>
      </c>
      <c r="L63" s="5">
        <v>0.13</v>
      </c>
      <c r="M63" s="1" t="s">
        <v>36</v>
      </c>
      <c r="N63" s="1" t="s">
        <v>241</v>
      </c>
      <c r="O63" s="6" t="s">
        <v>26</v>
      </c>
    </row>
    <row r="64" spans="1:15" x14ac:dyDescent="0.35">
      <c r="A64" t="s">
        <v>242</v>
      </c>
      <c r="B64" s="1" t="s">
        <v>243</v>
      </c>
      <c r="C64" s="1" t="s">
        <v>234</v>
      </c>
      <c r="D64" s="1" t="s">
        <v>20</v>
      </c>
      <c r="E64" s="1" t="s">
        <v>73</v>
      </c>
      <c r="F64" s="1" t="s">
        <v>22</v>
      </c>
      <c r="G64" s="1" t="s">
        <v>23</v>
      </c>
      <c r="H64" s="1">
        <v>61</v>
      </c>
      <c r="I64" s="1" t="str">
        <f t="shared" si="0"/>
        <v>&gt;60</v>
      </c>
      <c r="J64" s="3">
        <v>37582</v>
      </c>
      <c r="K64" s="4">
        <v>80950</v>
      </c>
      <c r="L64" s="5">
        <v>0.08</v>
      </c>
      <c r="M64" s="1" t="s">
        <v>24</v>
      </c>
      <c r="N64" s="1" t="s">
        <v>244</v>
      </c>
      <c r="O64" s="6" t="s">
        <v>26</v>
      </c>
    </row>
    <row r="65" spans="1:15" x14ac:dyDescent="0.35">
      <c r="A65" t="s">
        <v>245</v>
      </c>
      <c r="B65" s="1" t="s">
        <v>246</v>
      </c>
      <c r="C65" s="1" t="s">
        <v>29</v>
      </c>
      <c r="D65" s="1" t="s">
        <v>80</v>
      </c>
      <c r="E65" s="1" t="s">
        <v>21</v>
      </c>
      <c r="F65" s="1" t="s">
        <v>22</v>
      </c>
      <c r="G65" s="1" t="s">
        <v>23</v>
      </c>
      <c r="H65" s="1">
        <v>42</v>
      </c>
      <c r="I65" s="1" t="str">
        <f t="shared" si="0"/>
        <v>31-45</v>
      </c>
      <c r="J65" s="3">
        <v>37636</v>
      </c>
      <c r="K65" s="4">
        <v>166599</v>
      </c>
      <c r="L65" s="5">
        <v>7.0000000000000007E-2</v>
      </c>
      <c r="M65" s="1" t="s">
        <v>24</v>
      </c>
      <c r="N65" s="1" t="s">
        <v>247</v>
      </c>
      <c r="O65" s="6" t="s">
        <v>26</v>
      </c>
    </row>
    <row r="66" spans="1:15" x14ac:dyDescent="0.35">
      <c r="A66" t="s">
        <v>248</v>
      </c>
      <c r="B66" s="1" t="s">
        <v>249</v>
      </c>
      <c r="C66" s="1" t="s">
        <v>250</v>
      </c>
      <c r="D66" s="1" t="s">
        <v>3</v>
      </c>
      <c r="E66" s="1" t="s">
        <v>30</v>
      </c>
      <c r="F66" s="1" t="s">
        <v>22</v>
      </c>
      <c r="G66" s="1" t="s">
        <v>23</v>
      </c>
      <c r="H66" s="1">
        <v>51</v>
      </c>
      <c r="I66" s="1" t="str">
        <f t="shared" si="0"/>
        <v>46-60</v>
      </c>
      <c r="J66" s="3">
        <v>37638</v>
      </c>
      <c r="K66" s="4">
        <v>91399</v>
      </c>
      <c r="L66" s="5">
        <v>0.11</v>
      </c>
      <c r="M66" s="1" t="s">
        <v>251</v>
      </c>
      <c r="N66" s="1" t="s">
        <v>252</v>
      </c>
      <c r="O66" s="6" t="s">
        <v>26</v>
      </c>
    </row>
    <row r="67" spans="1:15" x14ac:dyDescent="0.35">
      <c r="A67" t="s">
        <v>253</v>
      </c>
      <c r="B67" s="1" t="s">
        <v>254</v>
      </c>
      <c r="C67" s="1" t="s">
        <v>110</v>
      </c>
      <c r="D67" s="1" t="s">
        <v>56</v>
      </c>
      <c r="E67" s="1" t="s">
        <v>41</v>
      </c>
      <c r="F67" s="1" t="s">
        <v>35</v>
      </c>
      <c r="G67" s="1" t="s">
        <v>23</v>
      </c>
      <c r="H67" s="1">
        <v>49</v>
      </c>
      <c r="I67" s="1" t="str">
        <f t="shared" ref="I67:I130" si="1">IF(H67&gt;=60,"&gt;60",IF(H67&gt;=46,"46-60",IF(H67&gt;=31,"31-45",IF(H67&gt;18,"18-30",""))))</f>
        <v>46-60</v>
      </c>
      <c r="J67" s="3">
        <v>37680</v>
      </c>
      <c r="K67" s="4">
        <v>211291</v>
      </c>
      <c r="L67" s="5">
        <v>0.06</v>
      </c>
      <c r="M67" s="1" t="s">
        <v>24</v>
      </c>
      <c r="N67" s="1" t="s">
        <v>255</v>
      </c>
      <c r="O67" s="6" t="s">
        <v>26</v>
      </c>
    </row>
    <row r="68" spans="1:15" x14ac:dyDescent="0.35">
      <c r="A68" t="s">
        <v>256</v>
      </c>
      <c r="B68" s="1" t="s">
        <v>257</v>
      </c>
      <c r="C68" s="1" t="s">
        <v>123</v>
      </c>
      <c r="D68" s="1" t="s">
        <v>3</v>
      </c>
      <c r="E68" s="1" t="s">
        <v>21</v>
      </c>
      <c r="F68" s="1" t="s">
        <v>35</v>
      </c>
      <c r="G68" s="1" t="s">
        <v>23</v>
      </c>
      <c r="H68" s="1">
        <v>65</v>
      </c>
      <c r="I68" s="1" t="str">
        <f t="shared" si="1"/>
        <v>&gt;60</v>
      </c>
      <c r="J68" s="3">
        <v>37749</v>
      </c>
      <c r="K68" s="4">
        <v>96548</v>
      </c>
      <c r="L68" s="5">
        <v>7.0000000000000007E-2</v>
      </c>
      <c r="M68" s="1" t="s">
        <v>258</v>
      </c>
      <c r="N68" s="1" t="s">
        <v>259</v>
      </c>
      <c r="O68" s="6" t="s">
        <v>26</v>
      </c>
    </row>
    <row r="69" spans="1:15" x14ac:dyDescent="0.35">
      <c r="A69" t="s">
        <v>260</v>
      </c>
      <c r="B69" s="1" t="s">
        <v>261</v>
      </c>
      <c r="C69" s="1" t="s">
        <v>29</v>
      </c>
      <c r="D69" s="1" t="s">
        <v>187</v>
      </c>
      <c r="E69" s="1" t="s">
        <v>21</v>
      </c>
      <c r="F69" s="1" t="s">
        <v>35</v>
      </c>
      <c r="G69" s="1" t="s">
        <v>23</v>
      </c>
      <c r="H69" s="1">
        <v>58</v>
      </c>
      <c r="I69" s="1" t="str">
        <f t="shared" si="1"/>
        <v>46-60</v>
      </c>
      <c r="J69" s="3">
        <v>37755</v>
      </c>
      <c r="K69" s="4">
        <v>173071</v>
      </c>
      <c r="L69" s="5">
        <v>0.06</v>
      </c>
      <c r="M69" s="1" t="s">
        <v>218</v>
      </c>
      <c r="N69" s="1" t="s">
        <v>262</v>
      </c>
      <c r="O69" s="6" t="s">
        <v>26</v>
      </c>
    </row>
    <row r="70" spans="1:15" x14ac:dyDescent="0.35">
      <c r="A70" t="s">
        <v>263</v>
      </c>
      <c r="B70" s="1" t="s">
        <v>264</v>
      </c>
      <c r="C70" s="1" t="s">
        <v>60</v>
      </c>
      <c r="D70" s="1" t="s">
        <v>1</v>
      </c>
      <c r="E70" s="1" t="s">
        <v>73</v>
      </c>
      <c r="F70" s="1" t="s">
        <v>35</v>
      </c>
      <c r="G70" s="1" t="s">
        <v>23</v>
      </c>
      <c r="H70" s="1">
        <v>64</v>
      </c>
      <c r="I70" s="1" t="str">
        <f t="shared" si="1"/>
        <v>&gt;60</v>
      </c>
      <c r="J70" s="3">
        <v>37762</v>
      </c>
      <c r="K70" s="4">
        <v>106444</v>
      </c>
      <c r="L70" s="5">
        <v>0.15</v>
      </c>
      <c r="M70" s="1" t="s">
        <v>24</v>
      </c>
      <c r="N70" s="1" t="s">
        <v>265</v>
      </c>
      <c r="O70" s="6" t="s">
        <v>26</v>
      </c>
    </row>
    <row r="71" spans="1:15" x14ac:dyDescent="0.35">
      <c r="A71" t="s">
        <v>266</v>
      </c>
      <c r="B71" s="1" t="s">
        <v>267</v>
      </c>
      <c r="C71" s="1" t="s">
        <v>144</v>
      </c>
      <c r="D71" s="1" t="s">
        <v>80</v>
      </c>
      <c r="E71" s="1" t="s">
        <v>41</v>
      </c>
      <c r="F71" s="1" t="s">
        <v>35</v>
      </c>
      <c r="G71" s="1" t="s">
        <v>23</v>
      </c>
      <c r="H71" s="1">
        <v>48</v>
      </c>
      <c r="I71" s="1" t="str">
        <f t="shared" si="1"/>
        <v>46-60</v>
      </c>
      <c r="J71" s="3">
        <v>37796</v>
      </c>
      <c r="K71" s="4">
        <v>55760</v>
      </c>
      <c r="L71" s="5">
        <v>0.13</v>
      </c>
      <c r="M71" s="1" t="s">
        <v>46</v>
      </c>
      <c r="N71" s="1" t="s">
        <v>268</v>
      </c>
      <c r="O71" s="6" t="s">
        <v>26</v>
      </c>
    </row>
    <row r="72" spans="1:15" x14ac:dyDescent="0.35">
      <c r="A72" t="s">
        <v>269</v>
      </c>
      <c r="B72" s="1" t="s">
        <v>270</v>
      </c>
      <c r="C72" s="1" t="s">
        <v>123</v>
      </c>
      <c r="D72" s="1" t="s">
        <v>3</v>
      </c>
      <c r="E72" s="1" t="s">
        <v>30</v>
      </c>
      <c r="F72" s="1" t="s">
        <v>22</v>
      </c>
      <c r="G72" s="1" t="s">
        <v>23</v>
      </c>
      <c r="H72" s="1">
        <v>57</v>
      </c>
      <c r="I72" s="1" t="str">
        <f t="shared" si="1"/>
        <v>46-60</v>
      </c>
      <c r="J72" s="3">
        <v>37798</v>
      </c>
      <c r="K72" s="4">
        <v>63318</v>
      </c>
      <c r="L72" s="5">
        <v>0.05</v>
      </c>
      <c r="M72" s="1" t="s">
        <v>46</v>
      </c>
      <c r="N72" s="1" t="s">
        <v>271</v>
      </c>
      <c r="O72" s="6" t="s">
        <v>26</v>
      </c>
    </row>
    <row r="73" spans="1:15" x14ac:dyDescent="0.35">
      <c r="A73" t="s">
        <v>272</v>
      </c>
      <c r="B73" s="1" t="s">
        <v>273</v>
      </c>
      <c r="C73" s="1" t="s">
        <v>274</v>
      </c>
      <c r="D73" s="1" t="s">
        <v>3</v>
      </c>
      <c r="E73" s="1" t="s">
        <v>41</v>
      </c>
      <c r="F73" s="1" t="s">
        <v>35</v>
      </c>
      <c r="G73" s="1" t="s">
        <v>23</v>
      </c>
      <c r="H73" s="1">
        <v>48</v>
      </c>
      <c r="I73" s="1" t="str">
        <f t="shared" si="1"/>
        <v>46-60</v>
      </c>
      <c r="J73" s="3">
        <v>37855</v>
      </c>
      <c r="K73" s="4">
        <v>82017</v>
      </c>
      <c r="L73" s="5">
        <v>0.17</v>
      </c>
      <c r="M73" s="1" t="s">
        <v>36</v>
      </c>
      <c r="N73" s="1" t="s">
        <v>275</v>
      </c>
      <c r="O73" s="6" t="s">
        <v>26</v>
      </c>
    </row>
    <row r="74" spans="1:15" x14ac:dyDescent="0.35">
      <c r="A74" t="s">
        <v>276</v>
      </c>
      <c r="B74" s="1" t="s">
        <v>277</v>
      </c>
      <c r="C74" s="1" t="s">
        <v>102</v>
      </c>
      <c r="D74" s="1" t="s">
        <v>56</v>
      </c>
      <c r="E74" s="1" t="s">
        <v>21</v>
      </c>
      <c r="F74" s="1" t="s">
        <v>35</v>
      </c>
      <c r="G74" s="1" t="s">
        <v>23</v>
      </c>
      <c r="H74" s="1">
        <v>64</v>
      </c>
      <c r="I74" s="1" t="str">
        <f t="shared" si="1"/>
        <v>&gt;60</v>
      </c>
      <c r="J74" s="3">
        <v>37962</v>
      </c>
      <c r="K74" s="4">
        <v>125807</v>
      </c>
      <c r="L74" s="5">
        <v>0.15</v>
      </c>
      <c r="M74" s="1" t="s">
        <v>24</v>
      </c>
      <c r="N74" s="1" t="s">
        <v>278</v>
      </c>
      <c r="O74" s="6" t="s">
        <v>26</v>
      </c>
    </row>
    <row r="75" spans="1:15" x14ac:dyDescent="0.35">
      <c r="A75" t="s">
        <v>279</v>
      </c>
      <c r="B75" s="1" t="s">
        <v>280</v>
      </c>
      <c r="C75" s="1" t="s">
        <v>106</v>
      </c>
      <c r="D75" s="1" t="s">
        <v>56</v>
      </c>
      <c r="E75" s="1" t="s">
        <v>41</v>
      </c>
      <c r="F75" s="1" t="s">
        <v>35</v>
      </c>
      <c r="G75" s="1" t="s">
        <v>23</v>
      </c>
      <c r="H75" s="1">
        <v>45</v>
      </c>
      <c r="I75" s="1" t="str">
        <f t="shared" si="1"/>
        <v>31-45</v>
      </c>
      <c r="J75" s="3">
        <v>37972</v>
      </c>
      <c r="K75" s="4">
        <v>48345</v>
      </c>
      <c r="L75" s="5">
        <v>0.09</v>
      </c>
      <c r="M75" s="1" t="s">
        <v>24</v>
      </c>
      <c r="N75" s="1" t="s">
        <v>281</v>
      </c>
      <c r="O75" s="6" t="s">
        <v>26</v>
      </c>
    </row>
    <row r="76" spans="1:15" x14ac:dyDescent="0.35">
      <c r="A76" t="s">
        <v>282</v>
      </c>
      <c r="B76" s="1" t="s">
        <v>283</v>
      </c>
      <c r="C76" s="1" t="s">
        <v>274</v>
      </c>
      <c r="D76" s="1" t="s">
        <v>3</v>
      </c>
      <c r="E76" s="1" t="s">
        <v>30</v>
      </c>
      <c r="F76" s="1" t="s">
        <v>35</v>
      </c>
      <c r="G76" s="1" t="s">
        <v>23</v>
      </c>
      <c r="H76" s="1">
        <v>60</v>
      </c>
      <c r="I76" s="1" t="str">
        <f t="shared" si="1"/>
        <v>&gt;60</v>
      </c>
      <c r="J76" s="3">
        <v>38027</v>
      </c>
      <c r="K76" s="4">
        <v>90258</v>
      </c>
      <c r="L76" s="5">
        <v>0.16</v>
      </c>
      <c r="M76" s="1" t="s">
        <v>284</v>
      </c>
      <c r="N76" s="1" t="s">
        <v>285</v>
      </c>
      <c r="O76" s="6" t="s">
        <v>26</v>
      </c>
    </row>
    <row r="77" spans="1:15" x14ac:dyDescent="0.35">
      <c r="A77" t="s">
        <v>286</v>
      </c>
      <c r="B77" s="1" t="s">
        <v>287</v>
      </c>
      <c r="C77" s="1" t="s">
        <v>110</v>
      </c>
      <c r="D77" s="1" t="s">
        <v>1</v>
      </c>
      <c r="E77" s="1" t="s">
        <v>21</v>
      </c>
      <c r="F77" s="1" t="s">
        <v>22</v>
      </c>
      <c r="G77" s="1" t="s">
        <v>23</v>
      </c>
      <c r="H77" s="1">
        <v>56</v>
      </c>
      <c r="I77" s="1" t="str">
        <f t="shared" si="1"/>
        <v>46-60</v>
      </c>
      <c r="J77" s="3">
        <v>38042</v>
      </c>
      <c r="K77" s="4">
        <v>216949</v>
      </c>
      <c r="L77" s="5">
        <v>0.06</v>
      </c>
      <c r="M77" s="1" t="s">
        <v>24</v>
      </c>
      <c r="N77" s="1" t="s">
        <v>288</v>
      </c>
      <c r="O77" s="6" t="s">
        <v>26</v>
      </c>
    </row>
    <row r="78" spans="1:15" x14ac:dyDescent="0.35">
      <c r="A78" t="s">
        <v>289</v>
      </c>
      <c r="B78" s="1" t="s">
        <v>290</v>
      </c>
      <c r="C78" s="1" t="s">
        <v>102</v>
      </c>
      <c r="D78" s="1" t="s">
        <v>1</v>
      </c>
      <c r="E78" s="1" t="s">
        <v>41</v>
      </c>
      <c r="F78" s="1" t="s">
        <v>35</v>
      </c>
      <c r="G78" s="1" t="s">
        <v>23</v>
      </c>
      <c r="H78" s="1">
        <v>46</v>
      </c>
      <c r="I78" s="1" t="str">
        <f t="shared" si="1"/>
        <v>46-60</v>
      </c>
      <c r="J78" s="3">
        <v>38046</v>
      </c>
      <c r="K78" s="4">
        <v>158897</v>
      </c>
      <c r="L78" s="5">
        <v>0.08</v>
      </c>
      <c r="M78" s="1" t="s">
        <v>24</v>
      </c>
      <c r="N78" s="1" t="s">
        <v>291</v>
      </c>
      <c r="O78" s="6" t="s">
        <v>26</v>
      </c>
    </row>
    <row r="79" spans="1:15" x14ac:dyDescent="0.35">
      <c r="A79" t="s">
        <v>292</v>
      </c>
      <c r="B79" s="1" t="s">
        <v>293</v>
      </c>
      <c r="C79" s="1" t="s">
        <v>69</v>
      </c>
      <c r="D79" s="1" t="s">
        <v>20</v>
      </c>
      <c r="E79" s="1" t="s">
        <v>41</v>
      </c>
      <c r="F79" s="1" t="s">
        <v>35</v>
      </c>
      <c r="G79" s="1" t="s">
        <v>23</v>
      </c>
      <c r="H79" s="1">
        <v>45</v>
      </c>
      <c r="I79" s="1" t="str">
        <f t="shared" si="1"/>
        <v>31-45</v>
      </c>
      <c r="J79" s="3">
        <v>38057</v>
      </c>
      <c r="K79" s="4">
        <v>109422</v>
      </c>
      <c r="L79" s="5">
        <v>0.15</v>
      </c>
      <c r="M79" s="1" t="s">
        <v>46</v>
      </c>
      <c r="N79" s="1" t="s">
        <v>294</v>
      </c>
      <c r="O79" s="6" t="s">
        <v>26</v>
      </c>
    </row>
    <row r="80" spans="1:15" x14ac:dyDescent="0.35">
      <c r="A80" t="s">
        <v>295</v>
      </c>
      <c r="B80" s="1" t="s">
        <v>178</v>
      </c>
      <c r="C80" s="1" t="s">
        <v>102</v>
      </c>
      <c r="D80" s="1" t="s">
        <v>80</v>
      </c>
      <c r="E80" s="1" t="s">
        <v>30</v>
      </c>
      <c r="F80" s="1" t="s">
        <v>35</v>
      </c>
      <c r="G80" s="1" t="s">
        <v>23</v>
      </c>
      <c r="H80" s="1">
        <v>41</v>
      </c>
      <c r="I80" s="1" t="str">
        <f t="shared" si="1"/>
        <v>31-45</v>
      </c>
      <c r="J80" s="3">
        <v>38060</v>
      </c>
      <c r="K80" s="4">
        <v>155004</v>
      </c>
      <c r="L80" s="5">
        <v>0.08</v>
      </c>
      <c r="M80" s="1" t="s">
        <v>24</v>
      </c>
      <c r="N80" s="1" t="s">
        <v>296</v>
      </c>
      <c r="O80" s="6" t="s">
        <v>26</v>
      </c>
    </row>
    <row r="81" spans="1:15" x14ac:dyDescent="0.35">
      <c r="A81" t="s">
        <v>297</v>
      </c>
      <c r="B81" s="1" t="s">
        <v>182</v>
      </c>
      <c r="C81" s="1" t="s">
        <v>162</v>
      </c>
      <c r="D81" s="1" t="s">
        <v>1</v>
      </c>
      <c r="E81" s="1" t="s">
        <v>41</v>
      </c>
      <c r="F81" s="1" t="s">
        <v>35</v>
      </c>
      <c r="G81" s="1" t="s">
        <v>23</v>
      </c>
      <c r="H81" s="1">
        <v>46</v>
      </c>
      <c r="I81" s="1" t="str">
        <f t="shared" si="1"/>
        <v>46-60</v>
      </c>
      <c r="J81" s="3">
        <v>38066</v>
      </c>
      <c r="K81" s="4">
        <v>73004</v>
      </c>
      <c r="L81" s="5">
        <v>0.12</v>
      </c>
      <c r="M81" s="1" t="s">
        <v>46</v>
      </c>
      <c r="N81" s="1" t="s">
        <v>298</v>
      </c>
      <c r="O81" s="6" t="s">
        <v>26</v>
      </c>
    </row>
    <row r="82" spans="1:15" x14ac:dyDescent="0.35">
      <c r="A82" t="s">
        <v>299</v>
      </c>
      <c r="B82" s="1" t="s">
        <v>186</v>
      </c>
      <c r="C82" s="1" t="s">
        <v>60</v>
      </c>
      <c r="D82" s="1" t="s">
        <v>80</v>
      </c>
      <c r="E82" s="1" t="s">
        <v>30</v>
      </c>
      <c r="F82" s="1" t="s">
        <v>22</v>
      </c>
      <c r="G82" s="1" t="s">
        <v>23</v>
      </c>
      <c r="H82" s="1">
        <v>63</v>
      </c>
      <c r="I82" s="1" t="str">
        <f t="shared" si="1"/>
        <v>&gt;60</v>
      </c>
      <c r="J82" s="3">
        <v>38096</v>
      </c>
      <c r="K82" s="4">
        <v>122487</v>
      </c>
      <c r="L82" s="5">
        <v>0.13</v>
      </c>
      <c r="M82" s="1" t="s">
        <v>24</v>
      </c>
      <c r="N82" s="1" t="s">
        <v>163</v>
      </c>
      <c r="O82" s="6" t="s">
        <v>26</v>
      </c>
    </row>
    <row r="83" spans="1:15" x14ac:dyDescent="0.35">
      <c r="A83" t="s">
        <v>300</v>
      </c>
      <c r="B83" s="1" t="s">
        <v>190</v>
      </c>
      <c r="C83" s="1" t="s">
        <v>29</v>
      </c>
      <c r="D83" s="1" t="s">
        <v>187</v>
      </c>
      <c r="E83" s="1" t="s">
        <v>30</v>
      </c>
      <c r="F83" s="1" t="s">
        <v>35</v>
      </c>
      <c r="G83" s="1" t="s">
        <v>23</v>
      </c>
      <c r="H83" s="1">
        <v>60</v>
      </c>
      <c r="I83" s="1" t="str">
        <f t="shared" si="1"/>
        <v>&gt;60</v>
      </c>
      <c r="J83" s="3">
        <v>38121</v>
      </c>
      <c r="K83" s="4">
        <v>186378</v>
      </c>
      <c r="L83" s="5">
        <v>0.14000000000000001</v>
      </c>
      <c r="M83" s="1" t="s">
        <v>46</v>
      </c>
      <c r="N83" s="1" t="s">
        <v>301</v>
      </c>
      <c r="O83" s="6" t="s">
        <v>26</v>
      </c>
    </row>
    <row r="84" spans="1:15" x14ac:dyDescent="0.35">
      <c r="A84" t="s">
        <v>302</v>
      </c>
      <c r="B84" s="1" t="s">
        <v>303</v>
      </c>
      <c r="C84" s="1" t="s">
        <v>110</v>
      </c>
      <c r="D84" s="1" t="s">
        <v>20</v>
      </c>
      <c r="E84" s="1" t="s">
        <v>73</v>
      </c>
      <c r="F84" s="1" t="s">
        <v>22</v>
      </c>
      <c r="G84" s="1" t="s">
        <v>23</v>
      </c>
      <c r="H84" s="1">
        <v>43</v>
      </c>
      <c r="I84" s="1" t="str">
        <f t="shared" si="1"/>
        <v>31-45</v>
      </c>
      <c r="J84" s="3">
        <v>38145</v>
      </c>
      <c r="K84" s="4">
        <v>246231</v>
      </c>
      <c r="L84" s="5">
        <v>7.0000000000000007E-2</v>
      </c>
      <c r="M84" s="1" t="s">
        <v>304</v>
      </c>
      <c r="N84" s="1" t="s">
        <v>305</v>
      </c>
      <c r="O84" s="6" t="s">
        <v>26</v>
      </c>
    </row>
    <row r="85" spans="1:15" x14ac:dyDescent="0.35">
      <c r="A85" t="s">
        <v>306</v>
      </c>
      <c r="B85" s="1" t="s">
        <v>307</v>
      </c>
      <c r="C85" s="1" t="s">
        <v>60</v>
      </c>
      <c r="D85" s="1" t="s">
        <v>56</v>
      </c>
      <c r="E85" s="1" t="s">
        <v>21</v>
      </c>
      <c r="F85" s="1" t="s">
        <v>22</v>
      </c>
      <c r="G85" s="1" t="s">
        <v>23</v>
      </c>
      <c r="H85" s="1">
        <v>48</v>
      </c>
      <c r="I85" s="1" t="str">
        <f t="shared" si="1"/>
        <v>46-60</v>
      </c>
      <c r="J85" s="3">
        <v>38168</v>
      </c>
      <c r="K85" s="4">
        <v>120660</v>
      </c>
      <c r="L85" s="5">
        <v>0.11</v>
      </c>
      <c r="M85" s="1" t="s">
        <v>24</v>
      </c>
      <c r="N85" s="1" t="s">
        <v>141</v>
      </c>
      <c r="O85" s="6" t="s">
        <v>26</v>
      </c>
    </row>
    <row r="86" spans="1:15" x14ac:dyDescent="0.35">
      <c r="A86" t="s">
        <v>308</v>
      </c>
      <c r="B86" s="1" t="s">
        <v>309</v>
      </c>
      <c r="C86" s="1" t="s">
        <v>29</v>
      </c>
      <c r="D86" s="1" t="s">
        <v>61</v>
      </c>
      <c r="E86" s="1" t="s">
        <v>30</v>
      </c>
      <c r="F86" s="1" t="s">
        <v>22</v>
      </c>
      <c r="G86" s="1" t="s">
        <v>23</v>
      </c>
      <c r="H86" s="1">
        <v>45</v>
      </c>
      <c r="I86" s="1" t="str">
        <f t="shared" si="1"/>
        <v>31-45</v>
      </c>
      <c r="J86" s="3">
        <v>38332</v>
      </c>
      <c r="K86" s="4">
        <v>168846</v>
      </c>
      <c r="L86" s="5">
        <v>0.11</v>
      </c>
      <c r="M86" s="1" t="s">
        <v>36</v>
      </c>
      <c r="N86" s="1" t="s">
        <v>310</v>
      </c>
      <c r="O86" s="6" t="s">
        <v>26</v>
      </c>
    </row>
    <row r="87" spans="1:15" x14ac:dyDescent="0.35">
      <c r="A87" t="s">
        <v>311</v>
      </c>
      <c r="B87" s="1" t="s">
        <v>312</v>
      </c>
      <c r="C87" s="1" t="s">
        <v>2</v>
      </c>
      <c r="D87" s="1" t="s">
        <v>1</v>
      </c>
      <c r="E87" s="1" t="s">
        <v>73</v>
      </c>
      <c r="F87" s="1" t="s">
        <v>35</v>
      </c>
      <c r="G87" s="1" t="s">
        <v>23</v>
      </c>
      <c r="H87" s="1">
        <v>64</v>
      </c>
      <c r="I87" s="1" t="str">
        <f t="shared" si="1"/>
        <v>&gt;60</v>
      </c>
      <c r="J87" s="3">
        <v>38380</v>
      </c>
      <c r="K87" s="4">
        <v>55369</v>
      </c>
      <c r="L87" s="5">
        <v>0.16</v>
      </c>
      <c r="M87" s="1" t="s">
        <v>24</v>
      </c>
      <c r="N87" s="1" t="s">
        <v>313</v>
      </c>
      <c r="O87" s="6" t="s">
        <v>26</v>
      </c>
    </row>
    <row r="88" spans="1:15" x14ac:dyDescent="0.35">
      <c r="A88" t="s">
        <v>314</v>
      </c>
      <c r="B88" s="1" t="s">
        <v>315</v>
      </c>
      <c r="C88" s="1" t="s">
        <v>60</v>
      </c>
      <c r="D88" s="1" t="s">
        <v>3</v>
      </c>
      <c r="E88" s="1" t="s">
        <v>21</v>
      </c>
      <c r="F88" s="1" t="s">
        <v>35</v>
      </c>
      <c r="G88" s="1" t="s">
        <v>23</v>
      </c>
      <c r="H88" s="1">
        <v>55</v>
      </c>
      <c r="I88" s="1" t="str">
        <f t="shared" si="1"/>
        <v>46-60</v>
      </c>
      <c r="J88" s="3">
        <v>38391</v>
      </c>
      <c r="K88" s="4">
        <v>115145</v>
      </c>
      <c r="L88" s="5">
        <v>0.16</v>
      </c>
      <c r="M88" s="1" t="s">
        <v>46</v>
      </c>
      <c r="N88" s="1" t="s">
        <v>316</v>
      </c>
      <c r="O88" s="6" t="s">
        <v>26</v>
      </c>
    </row>
    <row r="89" spans="1:15" x14ac:dyDescent="0.35">
      <c r="A89" t="s">
        <v>317</v>
      </c>
      <c r="B89" s="1" t="s">
        <v>318</v>
      </c>
      <c r="C89" s="1" t="s">
        <v>319</v>
      </c>
      <c r="D89" s="1" t="s">
        <v>1</v>
      </c>
      <c r="E89" s="1" t="s">
        <v>30</v>
      </c>
      <c r="F89" s="1" t="s">
        <v>35</v>
      </c>
      <c r="G89" s="1" t="s">
        <v>23</v>
      </c>
      <c r="H89" s="1">
        <v>41</v>
      </c>
      <c r="I89" s="1" t="str">
        <f t="shared" si="1"/>
        <v>31-45</v>
      </c>
      <c r="J89" s="3">
        <v>38398</v>
      </c>
      <c r="K89" s="4">
        <v>95372</v>
      </c>
      <c r="L89" s="5">
        <v>0.15</v>
      </c>
      <c r="M89" s="1" t="s">
        <v>24</v>
      </c>
      <c r="N89" s="1" t="s">
        <v>320</v>
      </c>
      <c r="O89" s="6" t="s">
        <v>26</v>
      </c>
    </row>
    <row r="90" spans="1:15" x14ac:dyDescent="0.35">
      <c r="A90" t="s">
        <v>321</v>
      </c>
      <c r="B90" s="1" t="s">
        <v>214</v>
      </c>
      <c r="C90" s="1" t="s">
        <v>102</v>
      </c>
      <c r="D90" s="1" t="s">
        <v>61</v>
      </c>
      <c r="E90" s="1" t="s">
        <v>73</v>
      </c>
      <c r="F90" s="1" t="s">
        <v>22</v>
      </c>
      <c r="G90" s="1" t="s">
        <v>23</v>
      </c>
      <c r="H90" s="1">
        <v>45</v>
      </c>
      <c r="I90" s="1" t="str">
        <f t="shared" si="1"/>
        <v>31-45</v>
      </c>
      <c r="J90" s="3">
        <v>38453</v>
      </c>
      <c r="K90" s="4">
        <v>128468</v>
      </c>
      <c r="L90" s="5">
        <v>0.11</v>
      </c>
      <c r="M90" s="1" t="s">
        <v>24</v>
      </c>
      <c r="N90" s="1" t="s">
        <v>322</v>
      </c>
      <c r="O90" s="6" t="s">
        <v>26</v>
      </c>
    </row>
    <row r="91" spans="1:15" x14ac:dyDescent="0.35">
      <c r="A91" t="s">
        <v>323</v>
      </c>
      <c r="B91" s="1" t="s">
        <v>217</v>
      </c>
      <c r="C91" s="1" t="s">
        <v>34</v>
      </c>
      <c r="D91" s="1" t="s">
        <v>3</v>
      </c>
      <c r="E91" s="1" t="s">
        <v>41</v>
      </c>
      <c r="F91" s="1" t="s">
        <v>35</v>
      </c>
      <c r="G91" s="1" t="s">
        <v>23</v>
      </c>
      <c r="H91" s="1">
        <v>58</v>
      </c>
      <c r="I91" s="1" t="str">
        <f t="shared" si="1"/>
        <v>46-60</v>
      </c>
      <c r="J91" s="3">
        <v>38521</v>
      </c>
      <c r="K91" s="4">
        <v>86089</v>
      </c>
      <c r="L91" s="5">
        <v>0.06</v>
      </c>
      <c r="M91" s="1" t="s">
        <v>218</v>
      </c>
      <c r="N91" s="1" t="s">
        <v>324</v>
      </c>
      <c r="O91" s="6" t="s">
        <v>26</v>
      </c>
    </row>
    <row r="92" spans="1:15" x14ac:dyDescent="0.35">
      <c r="A92" t="s">
        <v>325</v>
      </c>
      <c r="B92" s="1" t="s">
        <v>221</v>
      </c>
      <c r="C92" s="1" t="s">
        <v>110</v>
      </c>
      <c r="D92" s="1" t="s">
        <v>80</v>
      </c>
      <c r="E92" s="1" t="s">
        <v>73</v>
      </c>
      <c r="F92" s="1" t="s">
        <v>35</v>
      </c>
      <c r="G92" s="1" t="s">
        <v>23</v>
      </c>
      <c r="H92" s="1">
        <v>43</v>
      </c>
      <c r="I92" s="1" t="str">
        <f t="shared" si="1"/>
        <v>31-45</v>
      </c>
      <c r="J92" s="3">
        <v>38564</v>
      </c>
      <c r="K92" s="4">
        <v>249686</v>
      </c>
      <c r="L92" s="5">
        <v>0.09</v>
      </c>
      <c r="M92" s="1" t="s">
        <v>24</v>
      </c>
      <c r="N92" s="1" t="s">
        <v>326</v>
      </c>
      <c r="O92" s="6" t="s">
        <v>26</v>
      </c>
    </row>
    <row r="93" spans="1:15" x14ac:dyDescent="0.35">
      <c r="A93" t="s">
        <v>327</v>
      </c>
      <c r="B93" s="1" t="s">
        <v>328</v>
      </c>
      <c r="C93" s="1" t="s">
        <v>329</v>
      </c>
      <c r="D93" s="1" t="s">
        <v>3</v>
      </c>
      <c r="E93" s="1" t="s">
        <v>41</v>
      </c>
      <c r="F93" s="1" t="s">
        <v>35</v>
      </c>
      <c r="G93" s="1" t="s">
        <v>23</v>
      </c>
      <c r="H93" s="1">
        <v>55</v>
      </c>
      <c r="I93" s="1" t="str">
        <f t="shared" si="1"/>
        <v>46-60</v>
      </c>
      <c r="J93" s="3">
        <v>38573</v>
      </c>
      <c r="K93" s="4">
        <v>92771</v>
      </c>
      <c r="L93" s="5">
        <v>0.08</v>
      </c>
      <c r="M93" s="1" t="s">
        <v>46</v>
      </c>
      <c r="N93" s="1" t="s">
        <v>330</v>
      </c>
      <c r="O93" s="6" t="s">
        <v>26</v>
      </c>
    </row>
    <row r="94" spans="1:15" x14ac:dyDescent="0.35">
      <c r="A94" t="s">
        <v>331</v>
      </c>
      <c r="B94" s="1" t="s">
        <v>332</v>
      </c>
      <c r="C94" s="1" t="s">
        <v>179</v>
      </c>
      <c r="D94" s="1" t="s">
        <v>3</v>
      </c>
      <c r="E94" s="1" t="s">
        <v>73</v>
      </c>
      <c r="F94" s="1" t="s">
        <v>22</v>
      </c>
      <c r="G94" s="1" t="s">
        <v>23</v>
      </c>
      <c r="H94" s="1">
        <v>45</v>
      </c>
      <c r="I94" s="1" t="str">
        <f t="shared" si="1"/>
        <v>31-45</v>
      </c>
      <c r="J94" s="3">
        <v>38613</v>
      </c>
      <c r="K94" s="4">
        <v>67686</v>
      </c>
      <c r="L94" s="5">
        <v>0.1</v>
      </c>
      <c r="M94" s="1" t="s">
        <v>24</v>
      </c>
      <c r="N94" s="1" t="s">
        <v>117</v>
      </c>
      <c r="O94" s="6" t="s">
        <v>26</v>
      </c>
    </row>
    <row r="95" spans="1:15" x14ac:dyDescent="0.35">
      <c r="A95" t="s">
        <v>333</v>
      </c>
      <c r="B95" s="1" t="s">
        <v>334</v>
      </c>
      <c r="C95" s="1" t="s">
        <v>335</v>
      </c>
      <c r="D95" s="1" t="s">
        <v>3</v>
      </c>
      <c r="E95" s="1" t="s">
        <v>41</v>
      </c>
      <c r="F95" s="1" t="s">
        <v>35</v>
      </c>
      <c r="G95" s="1" t="s">
        <v>23</v>
      </c>
      <c r="H95" s="1">
        <v>42</v>
      </c>
      <c r="I95" s="1" t="str">
        <f t="shared" si="1"/>
        <v>31-45</v>
      </c>
      <c r="J95" s="3">
        <v>38640</v>
      </c>
      <c r="K95" s="4">
        <v>67398</v>
      </c>
      <c r="L95" s="5">
        <v>0.13</v>
      </c>
      <c r="M95" s="1" t="s">
        <v>24</v>
      </c>
      <c r="N95" s="1" t="s">
        <v>336</v>
      </c>
      <c r="O95" s="6" t="s">
        <v>26</v>
      </c>
    </row>
    <row r="96" spans="1:15" x14ac:dyDescent="0.35">
      <c r="A96" t="s">
        <v>337</v>
      </c>
      <c r="B96" s="1" t="s">
        <v>338</v>
      </c>
      <c r="C96" s="1" t="s">
        <v>55</v>
      </c>
      <c r="D96" s="1" t="s">
        <v>56</v>
      </c>
      <c r="E96" s="1" t="s">
        <v>21</v>
      </c>
      <c r="F96" s="1" t="s">
        <v>35</v>
      </c>
      <c r="G96" s="1" t="s">
        <v>23</v>
      </c>
      <c r="H96" s="1">
        <v>60</v>
      </c>
      <c r="I96" s="1" t="str">
        <f t="shared" si="1"/>
        <v>&gt;60</v>
      </c>
      <c r="J96" s="3">
        <v>38667</v>
      </c>
      <c r="K96" s="4">
        <v>78388</v>
      </c>
      <c r="L96" s="5">
        <v>7.0000000000000007E-2</v>
      </c>
      <c r="M96" s="1" t="s">
        <v>284</v>
      </c>
      <c r="N96" s="1" t="s">
        <v>339</v>
      </c>
      <c r="O96" s="6" t="s">
        <v>26</v>
      </c>
    </row>
    <row r="97" spans="1:15" x14ac:dyDescent="0.35">
      <c r="A97" t="s">
        <v>340</v>
      </c>
      <c r="B97" s="1" t="s">
        <v>341</v>
      </c>
      <c r="C97" s="1" t="s">
        <v>342</v>
      </c>
      <c r="D97" s="1" t="s">
        <v>56</v>
      </c>
      <c r="E97" s="1" t="s">
        <v>30</v>
      </c>
      <c r="F97" s="1" t="s">
        <v>35</v>
      </c>
      <c r="G97" s="1" t="s">
        <v>23</v>
      </c>
      <c r="H97" s="1">
        <v>44</v>
      </c>
      <c r="I97" s="1" t="str">
        <f t="shared" si="1"/>
        <v>31-45</v>
      </c>
      <c r="J97" s="3">
        <v>38771</v>
      </c>
      <c r="K97" s="4">
        <v>63705</v>
      </c>
      <c r="L97" s="5">
        <v>0.17</v>
      </c>
      <c r="M97" s="1" t="s">
        <v>24</v>
      </c>
      <c r="N97" s="1" t="s">
        <v>138</v>
      </c>
      <c r="O97" s="6" t="s">
        <v>26</v>
      </c>
    </row>
    <row r="98" spans="1:15" x14ac:dyDescent="0.35">
      <c r="A98" t="s">
        <v>343</v>
      </c>
      <c r="B98" s="1" t="s">
        <v>344</v>
      </c>
      <c r="C98" s="1" t="s">
        <v>19</v>
      </c>
      <c r="D98" s="1" t="s">
        <v>20</v>
      </c>
      <c r="E98" s="1" t="s">
        <v>73</v>
      </c>
      <c r="F98" s="1" t="s">
        <v>35</v>
      </c>
      <c r="G98" s="1" t="s">
        <v>23</v>
      </c>
      <c r="H98" s="1">
        <v>65</v>
      </c>
      <c r="I98" s="1" t="str">
        <f t="shared" si="1"/>
        <v>&gt;60</v>
      </c>
      <c r="J98" s="3">
        <v>38792</v>
      </c>
      <c r="K98" s="4">
        <v>83756</v>
      </c>
      <c r="L98" s="5">
        <v>0.15</v>
      </c>
      <c r="M98" s="1" t="s">
        <v>46</v>
      </c>
      <c r="N98" s="1" t="s">
        <v>345</v>
      </c>
      <c r="O98" s="6" t="s">
        <v>26</v>
      </c>
    </row>
    <row r="99" spans="1:15" x14ac:dyDescent="0.35">
      <c r="A99" t="s">
        <v>346</v>
      </c>
      <c r="B99" s="1" t="s">
        <v>347</v>
      </c>
      <c r="C99" s="1" t="s">
        <v>102</v>
      </c>
      <c r="D99" s="1" t="s">
        <v>3</v>
      </c>
      <c r="E99" s="1" t="s">
        <v>41</v>
      </c>
      <c r="F99" s="1" t="s">
        <v>35</v>
      </c>
      <c r="G99" s="1" t="s">
        <v>23</v>
      </c>
      <c r="H99" s="1">
        <v>49</v>
      </c>
      <c r="I99" s="1" t="str">
        <f t="shared" si="1"/>
        <v>46-60</v>
      </c>
      <c r="J99" s="3">
        <v>38825</v>
      </c>
      <c r="K99" s="4">
        <v>134486</v>
      </c>
      <c r="L99" s="5">
        <v>0.06</v>
      </c>
      <c r="M99" s="1" t="s">
        <v>24</v>
      </c>
      <c r="N99" s="1" t="s">
        <v>348</v>
      </c>
      <c r="O99" s="6" t="s">
        <v>26</v>
      </c>
    </row>
    <row r="100" spans="1:15" x14ac:dyDescent="0.35">
      <c r="A100" t="s">
        <v>349</v>
      </c>
      <c r="B100" s="1" t="s">
        <v>350</v>
      </c>
      <c r="C100" s="1" t="s">
        <v>2</v>
      </c>
      <c r="D100" s="1" t="s">
        <v>80</v>
      </c>
      <c r="E100" s="1" t="s">
        <v>41</v>
      </c>
      <c r="F100" s="1" t="s">
        <v>22</v>
      </c>
      <c r="G100" s="1" t="s">
        <v>23</v>
      </c>
      <c r="H100" s="1">
        <v>56</v>
      </c>
      <c r="I100" s="1" t="str">
        <f t="shared" si="1"/>
        <v>46-60</v>
      </c>
      <c r="J100" s="3">
        <v>38847</v>
      </c>
      <c r="K100" s="4">
        <v>41561</v>
      </c>
      <c r="L100" s="5">
        <v>0.15</v>
      </c>
      <c r="M100" s="1" t="s">
        <v>24</v>
      </c>
      <c r="N100" s="1" t="s">
        <v>351</v>
      </c>
      <c r="O100" s="6" t="s">
        <v>26</v>
      </c>
    </row>
    <row r="101" spans="1:15" x14ac:dyDescent="0.35">
      <c r="A101" t="s">
        <v>352</v>
      </c>
      <c r="B101" s="1" t="s">
        <v>353</v>
      </c>
      <c r="C101" s="1" t="s">
        <v>60</v>
      </c>
      <c r="D101" s="1" t="s">
        <v>61</v>
      </c>
      <c r="E101" s="1" t="s">
        <v>73</v>
      </c>
      <c r="F101" s="1" t="s">
        <v>35</v>
      </c>
      <c r="G101" s="1" t="s">
        <v>23</v>
      </c>
      <c r="H101" s="1">
        <v>43</v>
      </c>
      <c r="I101" s="1" t="str">
        <f t="shared" si="1"/>
        <v>31-45</v>
      </c>
      <c r="J101" s="3">
        <v>38879</v>
      </c>
      <c r="K101" s="4">
        <v>117278</v>
      </c>
      <c r="L101" s="5">
        <v>0.12</v>
      </c>
      <c r="M101" s="1" t="s">
        <v>36</v>
      </c>
      <c r="N101" s="1" t="s">
        <v>354</v>
      </c>
      <c r="O101" s="6" t="s">
        <v>26</v>
      </c>
    </row>
    <row r="102" spans="1:15" x14ac:dyDescent="0.35">
      <c r="A102" t="s">
        <v>355</v>
      </c>
      <c r="B102" s="1" t="s">
        <v>356</v>
      </c>
      <c r="C102" s="1" t="s">
        <v>102</v>
      </c>
      <c r="D102" s="1" t="s">
        <v>187</v>
      </c>
      <c r="E102" s="1" t="s">
        <v>21</v>
      </c>
      <c r="F102" s="1" t="s">
        <v>35</v>
      </c>
      <c r="G102" s="1" t="s">
        <v>23</v>
      </c>
      <c r="H102" s="1">
        <v>55</v>
      </c>
      <c r="I102" s="1" t="str">
        <f t="shared" si="1"/>
        <v>46-60</v>
      </c>
      <c r="J102" s="3">
        <v>38888</v>
      </c>
      <c r="K102" s="4">
        <v>142628</v>
      </c>
      <c r="L102" s="5">
        <v>0.16</v>
      </c>
      <c r="M102" s="1" t="s">
        <v>24</v>
      </c>
      <c r="N102" s="1" t="s">
        <v>357</v>
      </c>
      <c r="O102" s="6" t="s">
        <v>26</v>
      </c>
    </row>
    <row r="103" spans="1:15" x14ac:dyDescent="0.35">
      <c r="A103" t="s">
        <v>358</v>
      </c>
      <c r="B103" s="1" t="s">
        <v>359</v>
      </c>
      <c r="C103" s="1" t="s">
        <v>45</v>
      </c>
      <c r="D103" s="1" t="s">
        <v>61</v>
      </c>
      <c r="E103" s="1" t="s">
        <v>73</v>
      </c>
      <c r="F103" s="1" t="s">
        <v>22</v>
      </c>
      <c r="G103" s="1" t="s">
        <v>23</v>
      </c>
      <c r="H103" s="1">
        <v>55</v>
      </c>
      <c r="I103" s="1" t="str">
        <f t="shared" si="1"/>
        <v>46-60</v>
      </c>
      <c r="J103" s="3">
        <v>38909</v>
      </c>
      <c r="K103" s="4">
        <v>93343</v>
      </c>
      <c r="L103" s="5">
        <v>0.11</v>
      </c>
      <c r="M103" s="1" t="s">
        <v>24</v>
      </c>
      <c r="N103" s="1" t="s">
        <v>360</v>
      </c>
      <c r="O103" s="6" t="s">
        <v>26</v>
      </c>
    </row>
    <row r="104" spans="1:15" x14ac:dyDescent="0.35">
      <c r="A104" t="s">
        <v>361</v>
      </c>
      <c r="B104" s="1" t="s">
        <v>362</v>
      </c>
      <c r="C104" s="1" t="s">
        <v>162</v>
      </c>
      <c r="D104" s="1" t="s">
        <v>1</v>
      </c>
      <c r="E104" s="1" t="s">
        <v>41</v>
      </c>
      <c r="F104" s="1" t="s">
        <v>35</v>
      </c>
      <c r="G104" s="1" t="s">
        <v>23</v>
      </c>
      <c r="H104" s="1">
        <v>62</v>
      </c>
      <c r="I104" s="1" t="str">
        <f t="shared" si="1"/>
        <v>&gt;60</v>
      </c>
      <c r="J104" s="3">
        <v>38977</v>
      </c>
      <c r="K104" s="4">
        <v>64669</v>
      </c>
      <c r="L104" s="5">
        <v>7.0000000000000007E-2</v>
      </c>
      <c r="M104" s="1" t="s">
        <v>46</v>
      </c>
      <c r="N104" s="1" t="s">
        <v>268</v>
      </c>
      <c r="O104" s="6" t="s">
        <v>26</v>
      </c>
    </row>
    <row r="105" spans="1:15" x14ac:dyDescent="0.35">
      <c r="A105" t="s">
        <v>363</v>
      </c>
      <c r="B105" s="1" t="s">
        <v>364</v>
      </c>
      <c r="C105" s="1" t="s">
        <v>102</v>
      </c>
      <c r="D105" s="1" t="s">
        <v>80</v>
      </c>
      <c r="E105" s="1" t="s">
        <v>30</v>
      </c>
      <c r="F105" s="1" t="s">
        <v>35</v>
      </c>
      <c r="G105" s="1" t="s">
        <v>23</v>
      </c>
      <c r="H105" s="1">
        <v>43</v>
      </c>
      <c r="I105" s="1" t="str">
        <f t="shared" si="1"/>
        <v>31-45</v>
      </c>
      <c r="J105" s="3">
        <v>39005</v>
      </c>
      <c r="K105" s="4">
        <v>153492</v>
      </c>
      <c r="L105" s="5">
        <v>0.13</v>
      </c>
      <c r="M105" s="1" t="s">
        <v>24</v>
      </c>
      <c r="N105" s="1" t="s">
        <v>197</v>
      </c>
      <c r="O105" s="6" t="s">
        <v>26</v>
      </c>
    </row>
    <row r="106" spans="1:15" x14ac:dyDescent="0.35">
      <c r="A106" t="s">
        <v>365</v>
      </c>
      <c r="B106" s="1" t="s">
        <v>366</v>
      </c>
      <c r="C106" s="1" t="s">
        <v>29</v>
      </c>
      <c r="D106" s="1" t="s">
        <v>56</v>
      </c>
      <c r="E106" s="1" t="s">
        <v>73</v>
      </c>
      <c r="F106" s="1" t="s">
        <v>22</v>
      </c>
      <c r="G106" s="1" t="s">
        <v>23</v>
      </c>
      <c r="H106" s="1">
        <v>39</v>
      </c>
      <c r="I106" s="1" t="str">
        <f t="shared" si="1"/>
        <v>31-45</v>
      </c>
      <c r="J106" s="3">
        <v>39049</v>
      </c>
      <c r="K106" s="4">
        <v>161690</v>
      </c>
      <c r="L106" s="5">
        <v>0.08</v>
      </c>
      <c r="M106" s="1" t="s">
        <v>24</v>
      </c>
      <c r="N106" s="1" t="s">
        <v>367</v>
      </c>
      <c r="O106" s="6" t="s">
        <v>26</v>
      </c>
    </row>
    <row r="107" spans="1:15" x14ac:dyDescent="0.35">
      <c r="A107" t="s">
        <v>368</v>
      </c>
      <c r="B107" s="1" t="s">
        <v>369</v>
      </c>
      <c r="C107" s="1" t="s">
        <v>102</v>
      </c>
      <c r="D107" s="1" t="s">
        <v>187</v>
      </c>
      <c r="E107" s="1" t="s">
        <v>41</v>
      </c>
      <c r="F107" s="1" t="s">
        <v>22</v>
      </c>
      <c r="G107" s="1" t="s">
        <v>23</v>
      </c>
      <c r="H107" s="1">
        <v>45</v>
      </c>
      <c r="I107" s="1" t="str">
        <f t="shared" si="1"/>
        <v>31-45</v>
      </c>
      <c r="J107" s="3">
        <v>39063</v>
      </c>
      <c r="K107" s="4">
        <v>149537</v>
      </c>
      <c r="L107" s="5">
        <v>0.14000000000000001</v>
      </c>
      <c r="M107" s="1" t="s">
        <v>46</v>
      </c>
      <c r="N107" s="1" t="s">
        <v>370</v>
      </c>
      <c r="O107" s="6" t="s">
        <v>26</v>
      </c>
    </row>
    <row r="108" spans="1:15" x14ac:dyDescent="0.35">
      <c r="A108" t="s">
        <v>371</v>
      </c>
      <c r="B108" s="1" t="s">
        <v>372</v>
      </c>
      <c r="C108" s="1" t="s">
        <v>183</v>
      </c>
      <c r="D108" s="1" t="s">
        <v>3</v>
      </c>
      <c r="E108" s="1" t="s">
        <v>73</v>
      </c>
      <c r="F108" s="1" t="s">
        <v>35</v>
      </c>
      <c r="G108" s="1" t="s">
        <v>23</v>
      </c>
      <c r="H108" s="1">
        <v>45</v>
      </c>
      <c r="I108" s="1" t="str">
        <f t="shared" si="1"/>
        <v>31-45</v>
      </c>
      <c r="J108" s="3">
        <v>39069</v>
      </c>
      <c r="K108" s="4">
        <v>68337</v>
      </c>
      <c r="L108" s="5">
        <v>0.12</v>
      </c>
      <c r="M108" s="1" t="s">
        <v>46</v>
      </c>
      <c r="N108" s="1" t="s">
        <v>373</v>
      </c>
      <c r="O108" s="6" t="s">
        <v>26</v>
      </c>
    </row>
    <row r="109" spans="1:15" x14ac:dyDescent="0.35">
      <c r="A109" t="s">
        <v>374</v>
      </c>
      <c r="B109" s="1" t="s">
        <v>375</v>
      </c>
      <c r="C109" s="1" t="s">
        <v>2</v>
      </c>
      <c r="D109" s="1" t="s">
        <v>187</v>
      </c>
      <c r="E109" s="1" t="s">
        <v>21</v>
      </c>
      <c r="F109" s="1" t="s">
        <v>35</v>
      </c>
      <c r="G109" s="1" t="s">
        <v>23</v>
      </c>
      <c r="H109" s="1">
        <v>54</v>
      </c>
      <c r="I109" s="1" t="str">
        <f t="shared" si="1"/>
        <v>46-60</v>
      </c>
      <c r="J109" s="3">
        <v>39080</v>
      </c>
      <c r="K109" s="4">
        <v>55518</v>
      </c>
      <c r="L109" s="5">
        <v>0.08</v>
      </c>
      <c r="M109" s="1" t="s">
        <v>36</v>
      </c>
      <c r="N109" s="1" t="s">
        <v>376</v>
      </c>
      <c r="O109" s="6" t="s">
        <v>26</v>
      </c>
    </row>
    <row r="110" spans="1:15" x14ac:dyDescent="0.35">
      <c r="A110" t="s">
        <v>377</v>
      </c>
      <c r="B110" s="1" t="s">
        <v>378</v>
      </c>
      <c r="C110" s="1" t="s">
        <v>335</v>
      </c>
      <c r="D110" s="1" t="s">
        <v>3</v>
      </c>
      <c r="E110" s="1" t="s">
        <v>73</v>
      </c>
      <c r="F110" s="1" t="s">
        <v>35</v>
      </c>
      <c r="G110" s="1" t="s">
        <v>23</v>
      </c>
      <c r="H110" s="1">
        <v>48</v>
      </c>
      <c r="I110" s="1" t="str">
        <f t="shared" si="1"/>
        <v>46-60</v>
      </c>
      <c r="J110" s="3">
        <v>39091</v>
      </c>
      <c r="K110" s="4">
        <v>74546</v>
      </c>
      <c r="L110" s="5">
        <v>0.05</v>
      </c>
      <c r="M110" s="1" t="s">
        <v>24</v>
      </c>
      <c r="N110" s="1" t="s">
        <v>379</v>
      </c>
      <c r="O110" s="6" t="s">
        <v>26</v>
      </c>
    </row>
    <row r="111" spans="1:15" x14ac:dyDescent="0.35">
      <c r="A111" t="s">
        <v>380</v>
      </c>
      <c r="B111" s="1" t="s">
        <v>280</v>
      </c>
      <c r="C111" s="1" t="s">
        <v>110</v>
      </c>
      <c r="D111" s="1" t="s">
        <v>61</v>
      </c>
      <c r="E111" s="1" t="s">
        <v>30</v>
      </c>
      <c r="F111" s="1" t="s">
        <v>22</v>
      </c>
      <c r="G111" s="1" t="s">
        <v>23</v>
      </c>
      <c r="H111" s="1">
        <v>60</v>
      </c>
      <c r="I111" s="1" t="str">
        <f t="shared" si="1"/>
        <v>&gt;60</v>
      </c>
      <c r="J111" s="3">
        <v>39109</v>
      </c>
      <c r="K111" s="4">
        <v>234311</v>
      </c>
      <c r="L111" s="5">
        <v>0.14000000000000001</v>
      </c>
      <c r="M111" s="1" t="s">
        <v>24</v>
      </c>
      <c r="N111" s="1" t="s">
        <v>281</v>
      </c>
      <c r="O111" s="6" t="s">
        <v>26</v>
      </c>
    </row>
    <row r="112" spans="1:15" x14ac:dyDescent="0.35">
      <c r="A112" t="s">
        <v>381</v>
      </c>
      <c r="B112" s="1" t="s">
        <v>382</v>
      </c>
      <c r="C112" s="1" t="s">
        <v>29</v>
      </c>
      <c r="D112" s="1" t="s">
        <v>187</v>
      </c>
      <c r="E112" s="1" t="s">
        <v>41</v>
      </c>
      <c r="F112" s="1" t="s">
        <v>35</v>
      </c>
      <c r="G112" s="1" t="s">
        <v>23</v>
      </c>
      <c r="H112" s="1">
        <v>63</v>
      </c>
      <c r="I112" s="1" t="str">
        <f t="shared" si="1"/>
        <v>&gt;60</v>
      </c>
      <c r="J112" s="3">
        <v>39147</v>
      </c>
      <c r="K112" s="4">
        <v>193044</v>
      </c>
      <c r="L112" s="5">
        <v>0.06</v>
      </c>
      <c r="M112" s="1" t="s">
        <v>36</v>
      </c>
      <c r="N112" s="1" t="s">
        <v>383</v>
      </c>
      <c r="O112" s="6" t="s">
        <v>26</v>
      </c>
    </row>
    <row r="113" spans="1:15" x14ac:dyDescent="0.35">
      <c r="A113" t="s">
        <v>384</v>
      </c>
      <c r="B113" s="1" t="s">
        <v>172</v>
      </c>
      <c r="C113" s="1" t="s">
        <v>29</v>
      </c>
      <c r="D113" s="1" t="s">
        <v>3</v>
      </c>
      <c r="E113" s="1" t="s">
        <v>21</v>
      </c>
      <c r="F113" s="1" t="s">
        <v>22</v>
      </c>
      <c r="G113" s="1" t="s">
        <v>23</v>
      </c>
      <c r="H113" s="1">
        <v>55</v>
      </c>
      <c r="I113" s="1" t="str">
        <f t="shared" si="1"/>
        <v>46-60</v>
      </c>
      <c r="J113" s="3">
        <v>39154</v>
      </c>
      <c r="K113" s="4">
        <v>184648</v>
      </c>
      <c r="L113" s="5">
        <v>0.09</v>
      </c>
      <c r="M113" s="1" t="s">
        <v>24</v>
      </c>
      <c r="N113" s="1" t="s">
        <v>173</v>
      </c>
      <c r="O113" s="6" t="s">
        <v>26</v>
      </c>
    </row>
    <row r="114" spans="1:15" x14ac:dyDescent="0.35">
      <c r="A114" t="s">
        <v>385</v>
      </c>
      <c r="B114" s="1" t="s">
        <v>175</v>
      </c>
      <c r="C114" s="1" t="s">
        <v>55</v>
      </c>
      <c r="D114" s="1" t="s">
        <v>56</v>
      </c>
      <c r="E114" s="1" t="s">
        <v>41</v>
      </c>
      <c r="F114" s="1" t="s">
        <v>35</v>
      </c>
      <c r="G114" s="1" t="s">
        <v>23</v>
      </c>
      <c r="H114" s="1">
        <v>63</v>
      </c>
      <c r="I114" s="1" t="str">
        <f t="shared" si="1"/>
        <v>&gt;60</v>
      </c>
      <c r="J114" s="3">
        <v>39204</v>
      </c>
      <c r="K114" s="4">
        <v>72805</v>
      </c>
      <c r="L114" s="5">
        <v>0.15</v>
      </c>
      <c r="M114" s="1" t="s">
        <v>46</v>
      </c>
      <c r="N114" s="1" t="s">
        <v>131</v>
      </c>
      <c r="O114" s="6" t="s">
        <v>26</v>
      </c>
    </row>
    <row r="115" spans="1:15" x14ac:dyDescent="0.35">
      <c r="A115" t="s">
        <v>386</v>
      </c>
      <c r="B115" s="1" t="s">
        <v>387</v>
      </c>
      <c r="C115" s="1" t="s">
        <v>29</v>
      </c>
      <c r="D115" s="1" t="s">
        <v>56</v>
      </c>
      <c r="E115" s="1" t="s">
        <v>73</v>
      </c>
      <c r="F115" s="1" t="s">
        <v>35</v>
      </c>
      <c r="G115" s="1" t="s">
        <v>23</v>
      </c>
      <c r="H115" s="1">
        <v>38</v>
      </c>
      <c r="I115" s="1" t="str">
        <f t="shared" si="1"/>
        <v>31-45</v>
      </c>
      <c r="J115" s="3">
        <v>39232</v>
      </c>
      <c r="K115" s="4">
        <v>198562</v>
      </c>
      <c r="L115" s="5">
        <v>0.11</v>
      </c>
      <c r="M115" s="1" t="s">
        <v>24</v>
      </c>
      <c r="N115" s="1" t="s">
        <v>388</v>
      </c>
      <c r="O115" s="6" t="s">
        <v>26</v>
      </c>
    </row>
    <row r="116" spans="1:15" x14ac:dyDescent="0.35">
      <c r="A116" t="s">
        <v>389</v>
      </c>
      <c r="B116" s="1" t="s">
        <v>390</v>
      </c>
      <c r="C116" s="1" t="s">
        <v>335</v>
      </c>
      <c r="D116" s="1" t="s">
        <v>3</v>
      </c>
      <c r="E116" s="1" t="s">
        <v>41</v>
      </c>
      <c r="F116" s="1" t="s">
        <v>22</v>
      </c>
      <c r="G116" s="1" t="s">
        <v>23</v>
      </c>
      <c r="H116" s="1">
        <v>40</v>
      </c>
      <c r="I116" s="1" t="str">
        <f t="shared" si="1"/>
        <v>31-45</v>
      </c>
      <c r="J116" s="3">
        <v>39265</v>
      </c>
      <c r="K116" s="4">
        <v>93971</v>
      </c>
      <c r="L116" s="5">
        <v>0.15</v>
      </c>
      <c r="M116" s="1" t="s">
        <v>36</v>
      </c>
      <c r="N116" s="1" t="s">
        <v>391</v>
      </c>
      <c r="O116" s="6" t="s">
        <v>26</v>
      </c>
    </row>
    <row r="117" spans="1:15" x14ac:dyDescent="0.35">
      <c r="A117" t="s">
        <v>392</v>
      </c>
      <c r="B117" s="1" t="s">
        <v>393</v>
      </c>
      <c r="C117" s="1" t="s">
        <v>137</v>
      </c>
      <c r="D117" s="1" t="s">
        <v>3</v>
      </c>
      <c r="E117" s="1" t="s">
        <v>41</v>
      </c>
      <c r="F117" s="1" t="s">
        <v>22</v>
      </c>
      <c r="G117" s="1" t="s">
        <v>23</v>
      </c>
      <c r="H117" s="1">
        <v>40</v>
      </c>
      <c r="I117" s="1" t="str">
        <f t="shared" si="1"/>
        <v>31-45</v>
      </c>
      <c r="J117" s="3">
        <v>39293</v>
      </c>
      <c r="K117" s="4">
        <v>41859</v>
      </c>
      <c r="L117" s="5">
        <v>0.17</v>
      </c>
      <c r="M117" s="1" t="s">
        <v>24</v>
      </c>
      <c r="N117" s="1" t="s">
        <v>394</v>
      </c>
      <c r="O117" s="6" t="s">
        <v>26</v>
      </c>
    </row>
    <row r="118" spans="1:15" x14ac:dyDescent="0.35">
      <c r="A118" t="s">
        <v>395</v>
      </c>
      <c r="B118" s="1" t="s">
        <v>396</v>
      </c>
      <c r="C118" s="1" t="s">
        <v>110</v>
      </c>
      <c r="D118" s="1" t="s">
        <v>80</v>
      </c>
      <c r="E118" s="1" t="s">
        <v>30</v>
      </c>
      <c r="F118" s="1" t="s">
        <v>35</v>
      </c>
      <c r="G118" s="1" t="s">
        <v>23</v>
      </c>
      <c r="H118" s="1">
        <v>54</v>
      </c>
      <c r="I118" s="1" t="str">
        <f t="shared" si="1"/>
        <v>46-60</v>
      </c>
      <c r="J118" s="3">
        <v>39330</v>
      </c>
      <c r="K118" s="4">
        <v>183239</v>
      </c>
      <c r="L118" s="5">
        <v>0.13</v>
      </c>
      <c r="M118" s="1" t="s">
        <v>251</v>
      </c>
      <c r="N118" s="1" t="s">
        <v>397</v>
      </c>
      <c r="O118" s="6" t="s">
        <v>26</v>
      </c>
    </row>
    <row r="119" spans="1:15" x14ac:dyDescent="0.35">
      <c r="A119" t="s">
        <v>398</v>
      </c>
      <c r="B119" s="1" t="s">
        <v>399</v>
      </c>
      <c r="C119" s="1" t="s">
        <v>102</v>
      </c>
      <c r="D119" s="1" t="s">
        <v>1</v>
      </c>
      <c r="E119" s="1" t="s">
        <v>41</v>
      </c>
      <c r="F119" s="1" t="s">
        <v>22</v>
      </c>
      <c r="G119" s="1" t="s">
        <v>23</v>
      </c>
      <c r="H119" s="1">
        <v>45</v>
      </c>
      <c r="I119" s="1" t="str">
        <f t="shared" si="1"/>
        <v>31-45</v>
      </c>
      <c r="J119" s="3">
        <v>39332</v>
      </c>
      <c r="K119" s="4">
        <v>151027</v>
      </c>
      <c r="L119" s="5">
        <v>0.09</v>
      </c>
      <c r="M119" s="1" t="s">
        <v>24</v>
      </c>
      <c r="N119" s="1" t="s">
        <v>400</v>
      </c>
      <c r="O119" s="6" t="s">
        <v>26</v>
      </c>
    </row>
    <row r="120" spans="1:15" x14ac:dyDescent="0.35">
      <c r="A120" t="s">
        <v>401</v>
      </c>
      <c r="B120" s="1" t="s">
        <v>402</v>
      </c>
      <c r="C120" s="1" t="s">
        <v>45</v>
      </c>
      <c r="D120" s="1" t="s">
        <v>61</v>
      </c>
      <c r="E120" s="1" t="s">
        <v>30</v>
      </c>
      <c r="F120" s="1" t="s">
        <v>22</v>
      </c>
      <c r="G120" s="1" t="s">
        <v>23</v>
      </c>
      <c r="H120" s="1">
        <v>45</v>
      </c>
      <c r="I120" s="1" t="str">
        <f t="shared" si="1"/>
        <v>31-45</v>
      </c>
      <c r="J120" s="3">
        <v>39347</v>
      </c>
      <c r="K120" s="4">
        <v>92293</v>
      </c>
      <c r="L120" s="5">
        <v>0.14000000000000001</v>
      </c>
      <c r="M120" s="1" t="s">
        <v>403</v>
      </c>
      <c r="N120" s="1" t="s">
        <v>404</v>
      </c>
      <c r="O120" s="6" t="s">
        <v>26</v>
      </c>
    </row>
    <row r="121" spans="1:15" x14ac:dyDescent="0.35">
      <c r="A121" t="s">
        <v>405</v>
      </c>
      <c r="B121" s="1" t="s">
        <v>406</v>
      </c>
      <c r="C121" s="1" t="s">
        <v>29</v>
      </c>
      <c r="D121" s="1" t="s">
        <v>80</v>
      </c>
      <c r="E121" s="1" t="s">
        <v>30</v>
      </c>
      <c r="F121" s="1" t="s">
        <v>22</v>
      </c>
      <c r="G121" s="1" t="s">
        <v>23</v>
      </c>
      <c r="H121" s="1">
        <v>58</v>
      </c>
      <c r="I121" s="1" t="str">
        <f t="shared" si="1"/>
        <v>46-60</v>
      </c>
      <c r="J121" s="3">
        <v>39367</v>
      </c>
      <c r="K121" s="4">
        <v>162038</v>
      </c>
      <c r="L121" s="5">
        <v>0.08</v>
      </c>
      <c r="M121" s="1" t="s">
        <v>24</v>
      </c>
      <c r="N121" s="1" t="s">
        <v>407</v>
      </c>
      <c r="O121" s="6" t="s">
        <v>26</v>
      </c>
    </row>
    <row r="122" spans="1:15" x14ac:dyDescent="0.35">
      <c r="A122" t="s">
        <v>408</v>
      </c>
      <c r="B122" s="1" t="s">
        <v>409</v>
      </c>
      <c r="C122" s="1" t="s">
        <v>342</v>
      </c>
      <c r="D122" s="1" t="s">
        <v>56</v>
      </c>
      <c r="E122" s="1" t="s">
        <v>21</v>
      </c>
      <c r="F122" s="1" t="s">
        <v>22</v>
      </c>
      <c r="G122" s="1" t="s">
        <v>23</v>
      </c>
      <c r="H122" s="1">
        <v>41</v>
      </c>
      <c r="I122" s="1" t="str">
        <f t="shared" si="1"/>
        <v>31-45</v>
      </c>
      <c r="J122" s="3">
        <v>39379</v>
      </c>
      <c r="K122" s="4">
        <v>51630</v>
      </c>
      <c r="L122" s="5">
        <v>0.12</v>
      </c>
      <c r="M122" s="1" t="s">
        <v>46</v>
      </c>
      <c r="N122" s="1" t="s">
        <v>410</v>
      </c>
      <c r="O122" s="6" t="s">
        <v>26</v>
      </c>
    </row>
    <row r="123" spans="1:15" x14ac:dyDescent="0.35">
      <c r="A123" t="s">
        <v>411</v>
      </c>
      <c r="B123" s="1" t="s">
        <v>412</v>
      </c>
      <c r="C123" s="1" t="s">
        <v>45</v>
      </c>
      <c r="D123" s="1" t="s">
        <v>61</v>
      </c>
      <c r="E123" s="1" t="s">
        <v>30</v>
      </c>
      <c r="F123" s="1" t="s">
        <v>35</v>
      </c>
      <c r="G123" s="1" t="s">
        <v>23</v>
      </c>
      <c r="H123" s="1">
        <v>39</v>
      </c>
      <c r="I123" s="1" t="str">
        <f t="shared" si="1"/>
        <v>31-45</v>
      </c>
      <c r="J123" s="3">
        <v>39391</v>
      </c>
      <c r="K123" s="4">
        <v>99017</v>
      </c>
      <c r="L123" s="5">
        <v>0.16</v>
      </c>
      <c r="M123" s="1" t="s">
        <v>24</v>
      </c>
      <c r="N123" s="1" t="s">
        <v>197</v>
      </c>
      <c r="O123" s="6" t="s">
        <v>26</v>
      </c>
    </row>
    <row r="124" spans="1:15" x14ac:dyDescent="0.35">
      <c r="A124" t="s">
        <v>413</v>
      </c>
      <c r="B124" s="1" t="s">
        <v>414</v>
      </c>
      <c r="C124" s="1" t="s">
        <v>144</v>
      </c>
      <c r="D124" s="1" t="s">
        <v>80</v>
      </c>
      <c r="E124" s="1" t="s">
        <v>21</v>
      </c>
      <c r="F124" s="1" t="s">
        <v>35</v>
      </c>
      <c r="G124" s="1" t="s">
        <v>23</v>
      </c>
      <c r="H124" s="1">
        <v>55</v>
      </c>
      <c r="I124" s="1" t="str">
        <f t="shared" si="1"/>
        <v>46-60</v>
      </c>
      <c r="J124" s="3">
        <v>39418</v>
      </c>
      <c r="K124" s="4">
        <v>64494</v>
      </c>
      <c r="L124" s="5">
        <v>0.09</v>
      </c>
      <c r="M124" s="1" t="s">
        <v>24</v>
      </c>
      <c r="N124" s="1" t="s">
        <v>415</v>
      </c>
      <c r="O124" s="6" t="s">
        <v>26</v>
      </c>
    </row>
    <row r="125" spans="1:15" x14ac:dyDescent="0.35">
      <c r="A125" t="s">
        <v>416</v>
      </c>
      <c r="B125" s="1" t="s">
        <v>417</v>
      </c>
      <c r="C125" s="1" t="s">
        <v>335</v>
      </c>
      <c r="D125" s="1" t="s">
        <v>3</v>
      </c>
      <c r="E125" s="1" t="s">
        <v>73</v>
      </c>
      <c r="F125" s="1" t="s">
        <v>22</v>
      </c>
      <c r="G125" s="1" t="s">
        <v>23</v>
      </c>
      <c r="H125" s="1">
        <v>53</v>
      </c>
      <c r="I125" s="1" t="str">
        <f t="shared" si="1"/>
        <v>46-60</v>
      </c>
      <c r="J125" s="3">
        <v>39487</v>
      </c>
      <c r="K125" s="4">
        <v>84193</v>
      </c>
      <c r="L125" s="5">
        <v>0.1</v>
      </c>
      <c r="M125" s="1" t="s">
        <v>46</v>
      </c>
      <c r="N125" s="1" t="s">
        <v>418</v>
      </c>
      <c r="O125" s="6" t="s">
        <v>26</v>
      </c>
    </row>
    <row r="126" spans="1:15" x14ac:dyDescent="0.35">
      <c r="A126" t="s">
        <v>419</v>
      </c>
      <c r="B126" s="1" t="s">
        <v>420</v>
      </c>
      <c r="C126" s="1" t="s">
        <v>29</v>
      </c>
      <c r="D126" s="1" t="s">
        <v>61</v>
      </c>
      <c r="E126" s="1" t="s">
        <v>30</v>
      </c>
      <c r="F126" s="1" t="s">
        <v>22</v>
      </c>
      <c r="G126" s="1" t="s">
        <v>23</v>
      </c>
      <c r="H126" s="1">
        <v>45</v>
      </c>
      <c r="I126" s="1" t="str">
        <f t="shared" si="1"/>
        <v>31-45</v>
      </c>
      <c r="J126" s="3">
        <v>39519</v>
      </c>
      <c r="K126" s="4">
        <v>186138</v>
      </c>
      <c r="L126" s="5">
        <v>7.0000000000000007E-2</v>
      </c>
      <c r="M126" s="1" t="s">
        <v>24</v>
      </c>
      <c r="N126" s="1" t="s">
        <v>421</v>
      </c>
      <c r="O126" s="6" t="s">
        <v>26</v>
      </c>
    </row>
    <row r="127" spans="1:15" x14ac:dyDescent="0.35">
      <c r="A127" t="s">
        <v>422</v>
      </c>
      <c r="B127" s="1" t="s">
        <v>423</v>
      </c>
      <c r="C127" s="1" t="s">
        <v>110</v>
      </c>
      <c r="D127" s="1" t="s">
        <v>3</v>
      </c>
      <c r="E127" s="1" t="s">
        <v>30</v>
      </c>
      <c r="F127" s="1" t="s">
        <v>35</v>
      </c>
      <c r="G127" s="1" t="s">
        <v>23</v>
      </c>
      <c r="H127" s="1">
        <v>53</v>
      </c>
      <c r="I127" s="1" t="str">
        <f t="shared" si="1"/>
        <v>46-60</v>
      </c>
      <c r="J127" s="3">
        <v>39568</v>
      </c>
      <c r="K127" s="4">
        <v>182202</v>
      </c>
      <c r="L127" s="5">
        <v>0.17</v>
      </c>
      <c r="M127" s="1" t="s">
        <v>24</v>
      </c>
      <c r="N127" s="1" t="s">
        <v>388</v>
      </c>
      <c r="O127" s="6" t="s">
        <v>26</v>
      </c>
    </row>
    <row r="128" spans="1:15" x14ac:dyDescent="0.35">
      <c r="A128" t="s">
        <v>424</v>
      </c>
      <c r="B128" s="1" t="s">
        <v>425</v>
      </c>
      <c r="C128" s="1" t="s">
        <v>102</v>
      </c>
      <c r="D128" s="1" t="s">
        <v>61</v>
      </c>
      <c r="E128" s="1" t="s">
        <v>30</v>
      </c>
      <c r="F128" s="1" t="s">
        <v>35</v>
      </c>
      <c r="G128" s="1" t="s">
        <v>23</v>
      </c>
      <c r="H128" s="1">
        <v>59</v>
      </c>
      <c r="I128" s="1" t="str">
        <f t="shared" si="1"/>
        <v>46-60</v>
      </c>
      <c r="J128" s="3">
        <v>39689</v>
      </c>
      <c r="K128" s="4">
        <v>157969</v>
      </c>
      <c r="L128" s="5">
        <v>0.13</v>
      </c>
      <c r="M128" s="1" t="s">
        <v>46</v>
      </c>
      <c r="N128" s="1" t="s">
        <v>426</v>
      </c>
      <c r="O128" s="6" t="s">
        <v>26</v>
      </c>
    </row>
    <row r="129" spans="1:15" x14ac:dyDescent="0.35">
      <c r="A129" t="s">
        <v>427</v>
      </c>
      <c r="B129" s="1" t="s">
        <v>428</v>
      </c>
      <c r="C129" s="1" t="s">
        <v>110</v>
      </c>
      <c r="D129" s="1" t="s">
        <v>20</v>
      </c>
      <c r="E129" s="1" t="s">
        <v>41</v>
      </c>
      <c r="F129" s="1" t="s">
        <v>35</v>
      </c>
      <c r="G129" s="1" t="s">
        <v>23</v>
      </c>
      <c r="H129" s="1">
        <v>50</v>
      </c>
      <c r="I129" s="1" t="str">
        <f t="shared" si="1"/>
        <v>46-60</v>
      </c>
      <c r="J129" s="3">
        <v>39734</v>
      </c>
      <c r="K129" s="4">
        <v>181801</v>
      </c>
      <c r="L129" s="5">
        <v>0.12</v>
      </c>
      <c r="M129" s="1" t="s">
        <v>24</v>
      </c>
      <c r="N129" s="1" t="s">
        <v>429</v>
      </c>
      <c r="O129" s="6">
        <v>43810</v>
      </c>
    </row>
    <row r="130" spans="1:15" x14ac:dyDescent="0.35">
      <c r="A130" t="s">
        <v>430</v>
      </c>
      <c r="B130" s="1" t="s">
        <v>431</v>
      </c>
      <c r="C130" s="1" t="s">
        <v>137</v>
      </c>
      <c r="D130" s="1" t="s">
        <v>3</v>
      </c>
      <c r="E130" s="1" t="s">
        <v>30</v>
      </c>
      <c r="F130" s="1" t="s">
        <v>35</v>
      </c>
      <c r="G130" s="1" t="s">
        <v>23</v>
      </c>
      <c r="H130" s="1">
        <v>55</v>
      </c>
      <c r="I130" s="1" t="str">
        <f t="shared" si="1"/>
        <v>46-60</v>
      </c>
      <c r="J130" s="3">
        <v>39820</v>
      </c>
      <c r="K130" s="4">
        <v>47032</v>
      </c>
      <c r="L130" s="5">
        <v>0.15</v>
      </c>
      <c r="M130" s="1" t="s">
        <v>36</v>
      </c>
      <c r="N130" s="1" t="s">
        <v>432</v>
      </c>
      <c r="O130" s="6" t="s">
        <v>26</v>
      </c>
    </row>
    <row r="131" spans="1:15" x14ac:dyDescent="0.35">
      <c r="A131" t="s">
        <v>433</v>
      </c>
      <c r="B131" s="1" t="s">
        <v>434</v>
      </c>
      <c r="C131" s="1" t="s">
        <v>342</v>
      </c>
      <c r="D131" s="1" t="s">
        <v>56</v>
      </c>
      <c r="E131" s="1" t="s">
        <v>41</v>
      </c>
      <c r="F131" s="1" t="s">
        <v>35</v>
      </c>
      <c r="G131" s="1" t="s">
        <v>23</v>
      </c>
      <c r="H131" s="1">
        <v>44</v>
      </c>
      <c r="I131" s="1" t="str">
        <f t="shared" ref="I131:I194" si="2">IF(H131&gt;=60,"&gt;60",IF(H131&gt;=46,"46-60",IF(H131&gt;=31,"31-45",IF(H131&gt;18,"18-30",""))))</f>
        <v>31-45</v>
      </c>
      <c r="J131" s="3">
        <v>39841</v>
      </c>
      <c r="K131" s="4">
        <v>53301</v>
      </c>
      <c r="L131" s="5">
        <v>0.17</v>
      </c>
      <c r="M131" s="1" t="s">
        <v>24</v>
      </c>
      <c r="N131" s="1" t="s">
        <v>435</v>
      </c>
      <c r="O131" s="6" t="s">
        <v>26</v>
      </c>
    </row>
    <row r="132" spans="1:15" x14ac:dyDescent="0.35">
      <c r="A132" t="s">
        <v>436</v>
      </c>
      <c r="B132" s="1" t="s">
        <v>437</v>
      </c>
      <c r="C132" s="1" t="s">
        <v>102</v>
      </c>
      <c r="D132" s="1" t="s">
        <v>56</v>
      </c>
      <c r="E132" s="1" t="s">
        <v>41</v>
      </c>
      <c r="F132" s="1" t="s">
        <v>35</v>
      </c>
      <c r="G132" s="1" t="s">
        <v>23</v>
      </c>
      <c r="H132" s="1">
        <v>36</v>
      </c>
      <c r="I132" s="1" t="str">
        <f t="shared" si="2"/>
        <v>31-45</v>
      </c>
      <c r="J132" s="3">
        <v>39855</v>
      </c>
      <c r="K132" s="4">
        <v>157333</v>
      </c>
      <c r="L132" s="5">
        <v>7.0000000000000007E-2</v>
      </c>
      <c r="M132" s="1" t="s">
        <v>304</v>
      </c>
      <c r="N132" s="1" t="s">
        <v>305</v>
      </c>
      <c r="O132" s="6" t="s">
        <v>26</v>
      </c>
    </row>
    <row r="133" spans="1:15" x14ac:dyDescent="0.35">
      <c r="A133" t="s">
        <v>438</v>
      </c>
      <c r="B133" s="1" t="s">
        <v>439</v>
      </c>
      <c r="C133" s="1" t="s">
        <v>110</v>
      </c>
      <c r="D133" s="1" t="s">
        <v>61</v>
      </c>
      <c r="E133" s="1" t="s">
        <v>73</v>
      </c>
      <c r="F133" s="1" t="s">
        <v>22</v>
      </c>
      <c r="G133" s="1" t="s">
        <v>23</v>
      </c>
      <c r="H133" s="1">
        <v>40</v>
      </c>
      <c r="I133" s="1" t="str">
        <f t="shared" si="2"/>
        <v>31-45</v>
      </c>
      <c r="J133" s="3">
        <v>39872</v>
      </c>
      <c r="K133" s="4">
        <v>242919</v>
      </c>
      <c r="L133" s="5">
        <v>0.1</v>
      </c>
      <c r="M133" s="1" t="s">
        <v>24</v>
      </c>
      <c r="N133" s="1" t="s">
        <v>440</v>
      </c>
      <c r="O133" s="6" t="s">
        <v>26</v>
      </c>
    </row>
    <row r="134" spans="1:15" x14ac:dyDescent="0.35">
      <c r="A134" t="s">
        <v>441</v>
      </c>
      <c r="B134" s="1" t="s">
        <v>442</v>
      </c>
      <c r="C134" s="1" t="s">
        <v>329</v>
      </c>
      <c r="D134" s="1" t="s">
        <v>3</v>
      </c>
      <c r="E134" s="1" t="s">
        <v>41</v>
      </c>
      <c r="F134" s="1" t="s">
        <v>35</v>
      </c>
      <c r="G134" s="1" t="s">
        <v>23</v>
      </c>
      <c r="H134" s="1">
        <v>62</v>
      </c>
      <c r="I134" s="1" t="str">
        <f t="shared" si="2"/>
        <v>&gt;60</v>
      </c>
      <c r="J134" s="3">
        <v>39887</v>
      </c>
      <c r="K134" s="4">
        <v>82839</v>
      </c>
      <c r="L134" s="5">
        <v>0.08</v>
      </c>
      <c r="M134" s="1" t="s">
        <v>46</v>
      </c>
      <c r="N134" s="1" t="s">
        <v>443</v>
      </c>
      <c r="O134" s="6" t="s">
        <v>26</v>
      </c>
    </row>
    <row r="135" spans="1:15" x14ac:dyDescent="0.35">
      <c r="A135" t="s">
        <v>444</v>
      </c>
      <c r="B135" s="1" t="s">
        <v>445</v>
      </c>
      <c r="C135" s="1" t="s">
        <v>446</v>
      </c>
      <c r="D135" s="1" t="s">
        <v>20</v>
      </c>
      <c r="E135" s="1" t="s">
        <v>41</v>
      </c>
      <c r="F135" s="1" t="s">
        <v>22</v>
      </c>
      <c r="G135" s="1" t="s">
        <v>23</v>
      </c>
      <c r="H135" s="1">
        <v>60</v>
      </c>
      <c r="I135" s="1" t="str">
        <f t="shared" si="2"/>
        <v>&gt;60</v>
      </c>
      <c r="J135" s="3">
        <v>39944</v>
      </c>
      <c r="K135" s="4">
        <v>62239</v>
      </c>
      <c r="L135" s="5">
        <v>0.15</v>
      </c>
      <c r="M135" s="1" t="s">
        <v>24</v>
      </c>
      <c r="N135" s="1" t="s">
        <v>447</v>
      </c>
      <c r="O135" s="6" t="s">
        <v>26</v>
      </c>
    </row>
    <row r="136" spans="1:15" x14ac:dyDescent="0.35">
      <c r="A136" t="s">
        <v>448</v>
      </c>
      <c r="B136" s="1" t="s">
        <v>449</v>
      </c>
      <c r="C136" s="1" t="s">
        <v>60</v>
      </c>
      <c r="D136" s="1" t="s">
        <v>80</v>
      </c>
      <c r="E136" s="1" t="s">
        <v>30</v>
      </c>
      <c r="F136" s="1" t="s">
        <v>22</v>
      </c>
      <c r="G136" s="1" t="s">
        <v>23</v>
      </c>
      <c r="H136" s="1">
        <v>52</v>
      </c>
      <c r="I136" s="1" t="str">
        <f t="shared" si="2"/>
        <v>46-60</v>
      </c>
      <c r="J136" s="3">
        <v>40091</v>
      </c>
      <c r="K136" s="4">
        <v>122890</v>
      </c>
      <c r="L136" s="5">
        <v>0.1</v>
      </c>
      <c r="M136" s="1" t="s">
        <v>24</v>
      </c>
      <c r="N136" s="1" t="s">
        <v>450</v>
      </c>
      <c r="O136" s="6" t="s">
        <v>26</v>
      </c>
    </row>
    <row r="137" spans="1:15" x14ac:dyDescent="0.35">
      <c r="A137" t="s">
        <v>451</v>
      </c>
      <c r="B137" s="1" t="s">
        <v>452</v>
      </c>
      <c r="C137" s="1" t="s">
        <v>60</v>
      </c>
      <c r="D137" s="1" t="s">
        <v>80</v>
      </c>
      <c r="E137" s="1" t="s">
        <v>30</v>
      </c>
      <c r="F137" s="1" t="s">
        <v>35</v>
      </c>
      <c r="G137" s="1" t="s">
        <v>23</v>
      </c>
      <c r="H137" s="1">
        <v>61</v>
      </c>
      <c r="I137" s="1" t="str">
        <f t="shared" si="2"/>
        <v>&gt;60</v>
      </c>
      <c r="J137" s="3">
        <v>40092</v>
      </c>
      <c r="K137" s="4">
        <v>103096</v>
      </c>
      <c r="L137" s="5">
        <v>0.06</v>
      </c>
      <c r="M137" s="1" t="s">
        <v>36</v>
      </c>
      <c r="N137" s="1" t="s">
        <v>453</v>
      </c>
      <c r="O137" s="6" t="s">
        <v>26</v>
      </c>
    </row>
    <row r="138" spans="1:15" x14ac:dyDescent="0.35">
      <c r="A138" t="s">
        <v>454</v>
      </c>
      <c r="B138" s="1" t="s">
        <v>455</v>
      </c>
      <c r="C138" s="1" t="s">
        <v>45</v>
      </c>
      <c r="D138" s="1" t="s">
        <v>187</v>
      </c>
      <c r="E138" s="1" t="s">
        <v>21</v>
      </c>
      <c r="F138" s="1" t="s">
        <v>22</v>
      </c>
      <c r="G138" s="1" t="s">
        <v>23</v>
      </c>
      <c r="H138" s="1">
        <v>50</v>
      </c>
      <c r="I138" s="1" t="str">
        <f t="shared" si="2"/>
        <v>46-60</v>
      </c>
      <c r="J138" s="3">
        <v>40109</v>
      </c>
      <c r="K138" s="4">
        <v>79447</v>
      </c>
      <c r="L138" s="5">
        <v>0.15</v>
      </c>
      <c r="M138" s="1" t="s">
        <v>24</v>
      </c>
      <c r="N138" s="1" t="s">
        <v>456</v>
      </c>
      <c r="O138" s="6" t="s">
        <v>26</v>
      </c>
    </row>
    <row r="139" spans="1:15" x14ac:dyDescent="0.35">
      <c r="A139" t="s">
        <v>457</v>
      </c>
      <c r="B139" s="1" t="s">
        <v>458</v>
      </c>
      <c r="C139" s="1" t="s">
        <v>60</v>
      </c>
      <c r="D139" s="1" t="s">
        <v>56</v>
      </c>
      <c r="E139" s="1" t="s">
        <v>41</v>
      </c>
      <c r="F139" s="1" t="s">
        <v>22</v>
      </c>
      <c r="G139" s="1" t="s">
        <v>23</v>
      </c>
      <c r="H139" s="1">
        <v>42</v>
      </c>
      <c r="I139" s="1" t="str">
        <f t="shared" si="2"/>
        <v>31-45</v>
      </c>
      <c r="J139" s="3">
        <v>40159</v>
      </c>
      <c r="K139" s="4">
        <v>114242</v>
      </c>
      <c r="L139" s="5">
        <v>7.0000000000000007E-2</v>
      </c>
      <c r="M139" s="1" t="s">
        <v>403</v>
      </c>
      <c r="N139" s="1" t="s">
        <v>459</v>
      </c>
      <c r="O139" s="6" t="s">
        <v>26</v>
      </c>
    </row>
    <row r="140" spans="1:15" x14ac:dyDescent="0.35">
      <c r="A140" t="s">
        <v>460</v>
      </c>
      <c r="B140" s="1" t="s">
        <v>461</v>
      </c>
      <c r="C140" s="1" t="s">
        <v>234</v>
      </c>
      <c r="D140" s="1" t="s">
        <v>20</v>
      </c>
      <c r="E140" s="1" t="s">
        <v>21</v>
      </c>
      <c r="F140" s="1" t="s">
        <v>22</v>
      </c>
      <c r="G140" s="1" t="s">
        <v>23</v>
      </c>
      <c r="H140" s="1">
        <v>59</v>
      </c>
      <c r="I140" s="1" t="str">
        <f t="shared" si="2"/>
        <v>46-60</v>
      </c>
      <c r="J140" s="3">
        <v>40170</v>
      </c>
      <c r="K140" s="4">
        <v>78006</v>
      </c>
      <c r="L140" s="5">
        <v>7.0000000000000007E-2</v>
      </c>
      <c r="M140" s="1" t="s">
        <v>462</v>
      </c>
      <c r="N140" s="1" t="s">
        <v>463</v>
      </c>
      <c r="O140" s="6" t="s">
        <v>26</v>
      </c>
    </row>
    <row r="141" spans="1:15" x14ac:dyDescent="0.35">
      <c r="A141" t="s">
        <v>464</v>
      </c>
      <c r="B141" s="1" t="s">
        <v>465</v>
      </c>
      <c r="C141" s="1" t="s">
        <v>60</v>
      </c>
      <c r="D141" s="1" t="s">
        <v>80</v>
      </c>
      <c r="E141" s="1" t="s">
        <v>30</v>
      </c>
      <c r="F141" s="1" t="s">
        <v>22</v>
      </c>
      <c r="G141" s="1" t="s">
        <v>23</v>
      </c>
      <c r="H141" s="1">
        <v>39</v>
      </c>
      <c r="I141" s="1" t="str">
        <f t="shared" si="2"/>
        <v>31-45</v>
      </c>
      <c r="J141" s="3">
        <v>40192</v>
      </c>
      <c r="K141" s="4">
        <v>103504</v>
      </c>
      <c r="L141" s="5">
        <v>0.11</v>
      </c>
      <c r="M141" s="1" t="s">
        <v>218</v>
      </c>
      <c r="N141" s="1" t="s">
        <v>466</v>
      </c>
      <c r="O141" s="6" t="s">
        <v>26</v>
      </c>
    </row>
    <row r="142" spans="1:15" x14ac:dyDescent="0.35">
      <c r="A142" t="s">
        <v>467</v>
      </c>
      <c r="B142" s="1" t="s">
        <v>468</v>
      </c>
      <c r="C142" s="1" t="s">
        <v>469</v>
      </c>
      <c r="D142" s="1" t="s">
        <v>3</v>
      </c>
      <c r="E142" s="1" t="s">
        <v>21</v>
      </c>
      <c r="F142" s="1" t="s">
        <v>22</v>
      </c>
      <c r="G142" s="1" t="s">
        <v>23</v>
      </c>
      <c r="H142" s="1">
        <v>45</v>
      </c>
      <c r="I142" s="1" t="str">
        <f t="shared" si="2"/>
        <v>31-45</v>
      </c>
      <c r="J142" s="3">
        <v>40235</v>
      </c>
      <c r="K142" s="4">
        <v>90770</v>
      </c>
      <c r="L142" s="5">
        <v>0.15</v>
      </c>
      <c r="M142" s="1" t="s">
        <v>24</v>
      </c>
      <c r="N142" s="1" t="s">
        <v>470</v>
      </c>
      <c r="O142" s="6" t="s">
        <v>26</v>
      </c>
    </row>
    <row r="143" spans="1:15" x14ac:dyDescent="0.35">
      <c r="A143" t="s">
        <v>471</v>
      </c>
      <c r="B143" s="1" t="s">
        <v>472</v>
      </c>
      <c r="C143" s="1" t="s">
        <v>102</v>
      </c>
      <c r="D143" s="1" t="s">
        <v>56</v>
      </c>
      <c r="E143" s="1" t="s">
        <v>73</v>
      </c>
      <c r="F143" s="1" t="s">
        <v>35</v>
      </c>
      <c r="G143" s="1" t="s">
        <v>23</v>
      </c>
      <c r="H143" s="1">
        <v>36</v>
      </c>
      <c r="I143" s="1" t="str">
        <f t="shared" si="2"/>
        <v>31-45</v>
      </c>
      <c r="J143" s="3">
        <v>40248</v>
      </c>
      <c r="K143" s="4">
        <v>134006</v>
      </c>
      <c r="L143" s="5">
        <v>7.0000000000000007E-2</v>
      </c>
      <c r="M143" s="1" t="s">
        <v>46</v>
      </c>
      <c r="N143" s="1" t="s">
        <v>473</v>
      </c>
      <c r="O143" s="6" t="s">
        <v>26</v>
      </c>
    </row>
    <row r="144" spans="1:15" x14ac:dyDescent="0.35">
      <c r="A144" t="s">
        <v>474</v>
      </c>
      <c r="B144" s="1" t="s">
        <v>475</v>
      </c>
      <c r="C144" s="1" t="s">
        <v>274</v>
      </c>
      <c r="D144" s="1" t="s">
        <v>3</v>
      </c>
      <c r="E144" s="1" t="s">
        <v>41</v>
      </c>
      <c r="F144" s="1" t="s">
        <v>22</v>
      </c>
      <c r="G144" s="1" t="s">
        <v>23</v>
      </c>
      <c r="H144" s="1">
        <v>45</v>
      </c>
      <c r="I144" s="1" t="str">
        <f t="shared" si="2"/>
        <v>31-45</v>
      </c>
      <c r="J144" s="3">
        <v>40253</v>
      </c>
      <c r="K144" s="4">
        <v>88182</v>
      </c>
      <c r="L144" s="5">
        <v>7.0000000000000007E-2</v>
      </c>
      <c r="M144" s="1" t="s">
        <v>46</v>
      </c>
      <c r="N144" s="1" t="s">
        <v>476</v>
      </c>
      <c r="O144" s="6" t="s">
        <v>26</v>
      </c>
    </row>
    <row r="145" spans="1:15" x14ac:dyDescent="0.35">
      <c r="A145" t="s">
        <v>477</v>
      </c>
      <c r="B145" s="1" t="s">
        <v>478</v>
      </c>
      <c r="C145" s="1" t="s">
        <v>102</v>
      </c>
      <c r="D145" s="1" t="s">
        <v>80</v>
      </c>
      <c r="E145" s="1" t="s">
        <v>73</v>
      </c>
      <c r="F145" s="1" t="s">
        <v>22</v>
      </c>
      <c r="G145" s="1" t="s">
        <v>23</v>
      </c>
      <c r="H145" s="1">
        <v>44</v>
      </c>
      <c r="I145" s="1" t="str">
        <f t="shared" si="2"/>
        <v>31-45</v>
      </c>
      <c r="J145" s="3">
        <v>40274</v>
      </c>
      <c r="K145" s="4">
        <v>142878</v>
      </c>
      <c r="L145" s="5">
        <v>0.15</v>
      </c>
      <c r="M145" s="1" t="s">
        <v>24</v>
      </c>
      <c r="N145" s="1" t="s">
        <v>479</v>
      </c>
      <c r="O145" s="6" t="s">
        <v>26</v>
      </c>
    </row>
    <row r="146" spans="1:15" x14ac:dyDescent="0.35">
      <c r="A146" t="s">
        <v>480</v>
      </c>
      <c r="B146" s="1" t="s">
        <v>280</v>
      </c>
      <c r="C146" s="1" t="s">
        <v>102</v>
      </c>
      <c r="D146" s="1" t="s">
        <v>56</v>
      </c>
      <c r="E146" s="1" t="s">
        <v>30</v>
      </c>
      <c r="F146" s="1" t="s">
        <v>22</v>
      </c>
      <c r="G146" s="1" t="s">
        <v>23</v>
      </c>
      <c r="H146" s="1">
        <v>45</v>
      </c>
      <c r="I146" s="1" t="str">
        <f t="shared" si="2"/>
        <v>31-45</v>
      </c>
      <c r="J146" s="3">
        <v>40305</v>
      </c>
      <c r="K146" s="4">
        <v>145093</v>
      </c>
      <c r="L146" s="5">
        <v>0.17</v>
      </c>
      <c r="M146" s="1" t="s">
        <v>24</v>
      </c>
      <c r="N146" s="1" t="s">
        <v>281</v>
      </c>
      <c r="O146" s="6" t="s">
        <v>26</v>
      </c>
    </row>
    <row r="147" spans="1:15" x14ac:dyDescent="0.35">
      <c r="A147" t="s">
        <v>481</v>
      </c>
      <c r="B147" s="1" t="s">
        <v>382</v>
      </c>
      <c r="C147" s="1" t="s">
        <v>144</v>
      </c>
      <c r="D147" s="1" t="s">
        <v>1</v>
      </c>
      <c r="E147" s="1" t="s">
        <v>30</v>
      </c>
      <c r="F147" s="1" t="s">
        <v>35</v>
      </c>
      <c r="G147" s="1" t="s">
        <v>23</v>
      </c>
      <c r="H147" s="1">
        <v>42</v>
      </c>
      <c r="I147" s="1" t="str">
        <f t="shared" si="2"/>
        <v>31-45</v>
      </c>
      <c r="J147" s="3">
        <v>40307</v>
      </c>
      <c r="K147" s="4">
        <v>67743</v>
      </c>
      <c r="L147" s="5">
        <v>0.16</v>
      </c>
      <c r="M147" s="1" t="s">
        <v>36</v>
      </c>
      <c r="N147" s="1" t="s">
        <v>383</v>
      </c>
      <c r="O147" s="6">
        <v>41998</v>
      </c>
    </row>
    <row r="148" spans="1:15" x14ac:dyDescent="0.35">
      <c r="A148" t="s">
        <v>482</v>
      </c>
      <c r="B148" s="1" t="s">
        <v>172</v>
      </c>
      <c r="C148" s="1" t="s">
        <v>2</v>
      </c>
      <c r="D148" s="1" t="s">
        <v>80</v>
      </c>
      <c r="E148" s="1" t="s">
        <v>73</v>
      </c>
      <c r="F148" s="1" t="s">
        <v>35</v>
      </c>
      <c r="G148" s="1" t="s">
        <v>23</v>
      </c>
      <c r="H148" s="1">
        <v>44</v>
      </c>
      <c r="I148" s="1" t="str">
        <f t="shared" si="2"/>
        <v>31-45</v>
      </c>
      <c r="J148" s="3">
        <v>40329</v>
      </c>
      <c r="K148" s="4">
        <v>47387</v>
      </c>
      <c r="L148" s="5">
        <v>7.0000000000000007E-2</v>
      </c>
      <c r="M148" s="1" t="s">
        <v>24</v>
      </c>
      <c r="N148" s="1" t="s">
        <v>173</v>
      </c>
      <c r="O148" s="6">
        <v>43108</v>
      </c>
    </row>
    <row r="149" spans="1:15" x14ac:dyDescent="0.35">
      <c r="A149" t="s">
        <v>483</v>
      </c>
      <c r="B149" s="1" t="s">
        <v>175</v>
      </c>
      <c r="C149" s="1" t="s">
        <v>144</v>
      </c>
      <c r="D149" s="1" t="s">
        <v>1</v>
      </c>
      <c r="E149" s="1" t="s">
        <v>21</v>
      </c>
      <c r="F149" s="1" t="s">
        <v>22</v>
      </c>
      <c r="G149" s="1" t="s">
        <v>23</v>
      </c>
      <c r="H149" s="1">
        <v>41</v>
      </c>
      <c r="I149" s="1" t="str">
        <f t="shared" si="2"/>
        <v>31-45</v>
      </c>
      <c r="J149" s="3">
        <v>40333</v>
      </c>
      <c r="K149" s="4">
        <v>72425</v>
      </c>
      <c r="L149" s="5">
        <v>0.12</v>
      </c>
      <c r="M149" s="1" t="s">
        <v>46</v>
      </c>
      <c r="N149" s="1" t="s">
        <v>131</v>
      </c>
      <c r="O149" s="6" t="s">
        <v>26</v>
      </c>
    </row>
    <row r="150" spans="1:15" x14ac:dyDescent="0.35">
      <c r="A150" t="s">
        <v>484</v>
      </c>
      <c r="B150" s="1" t="s">
        <v>387</v>
      </c>
      <c r="C150" s="1" t="s">
        <v>29</v>
      </c>
      <c r="D150" s="1" t="s">
        <v>187</v>
      </c>
      <c r="E150" s="1" t="s">
        <v>41</v>
      </c>
      <c r="F150" s="1" t="s">
        <v>22</v>
      </c>
      <c r="G150" s="1" t="s">
        <v>23</v>
      </c>
      <c r="H150" s="1">
        <v>55</v>
      </c>
      <c r="I150" s="1" t="str">
        <f t="shared" si="2"/>
        <v>46-60</v>
      </c>
      <c r="J150" s="3">
        <v>40340</v>
      </c>
      <c r="K150" s="4">
        <v>187389</v>
      </c>
      <c r="L150" s="5">
        <v>0.17</v>
      </c>
      <c r="M150" s="1" t="s">
        <v>24</v>
      </c>
      <c r="N150" s="1" t="s">
        <v>388</v>
      </c>
      <c r="O150" s="6" t="s">
        <v>26</v>
      </c>
    </row>
    <row r="151" spans="1:15" x14ac:dyDescent="0.35">
      <c r="A151" t="s">
        <v>485</v>
      </c>
      <c r="B151" s="1" t="s">
        <v>390</v>
      </c>
      <c r="C151" s="1" t="s">
        <v>102</v>
      </c>
      <c r="D151" s="1" t="s">
        <v>3</v>
      </c>
      <c r="E151" s="1" t="s">
        <v>21</v>
      </c>
      <c r="F151" s="1" t="s">
        <v>35</v>
      </c>
      <c r="G151" s="1" t="s">
        <v>23</v>
      </c>
      <c r="H151" s="1">
        <v>60</v>
      </c>
      <c r="I151" s="1" t="str">
        <f t="shared" si="2"/>
        <v>&gt;60</v>
      </c>
      <c r="J151" s="3">
        <v>40383</v>
      </c>
      <c r="K151" s="4">
        <v>126911</v>
      </c>
      <c r="L151" s="5">
        <v>0.17</v>
      </c>
      <c r="M151" s="1" t="s">
        <v>36</v>
      </c>
      <c r="N151" s="1" t="s">
        <v>391</v>
      </c>
      <c r="O151" s="6" t="s">
        <v>26</v>
      </c>
    </row>
    <row r="152" spans="1:15" x14ac:dyDescent="0.35">
      <c r="A152" t="s">
        <v>486</v>
      </c>
      <c r="B152" s="1" t="s">
        <v>393</v>
      </c>
      <c r="C152" s="1" t="s">
        <v>250</v>
      </c>
      <c r="D152" s="1" t="s">
        <v>3</v>
      </c>
      <c r="E152" s="1" t="s">
        <v>30</v>
      </c>
      <c r="F152" s="1" t="s">
        <v>35</v>
      </c>
      <c r="G152" s="1" t="s">
        <v>23</v>
      </c>
      <c r="H152" s="1">
        <v>45</v>
      </c>
      <c r="I152" s="1" t="str">
        <f t="shared" si="2"/>
        <v>31-45</v>
      </c>
      <c r="J152" s="3">
        <v>40418</v>
      </c>
      <c r="K152" s="4">
        <v>82162</v>
      </c>
      <c r="L152" s="5">
        <v>0.15</v>
      </c>
      <c r="M152" s="1" t="s">
        <v>24</v>
      </c>
      <c r="N152" s="1" t="s">
        <v>394</v>
      </c>
      <c r="O152" s="6">
        <v>44107</v>
      </c>
    </row>
    <row r="153" spans="1:15" x14ac:dyDescent="0.35">
      <c r="A153" t="s">
        <v>487</v>
      </c>
      <c r="B153" s="1" t="s">
        <v>396</v>
      </c>
      <c r="C153" s="1" t="s">
        <v>34</v>
      </c>
      <c r="D153" s="1" t="s">
        <v>3</v>
      </c>
      <c r="E153" s="1" t="s">
        <v>73</v>
      </c>
      <c r="F153" s="1" t="s">
        <v>35</v>
      </c>
      <c r="G153" s="1" t="s">
        <v>23</v>
      </c>
      <c r="H153" s="1">
        <v>49</v>
      </c>
      <c r="I153" s="1" t="str">
        <f t="shared" si="2"/>
        <v>46-60</v>
      </c>
      <c r="J153" s="3">
        <v>40431</v>
      </c>
      <c r="K153" s="4">
        <v>72826</v>
      </c>
      <c r="L153" s="5">
        <v>0.05</v>
      </c>
      <c r="M153" s="1" t="s">
        <v>251</v>
      </c>
      <c r="N153" s="1" t="s">
        <v>397</v>
      </c>
      <c r="O153" s="6" t="s">
        <v>26</v>
      </c>
    </row>
    <row r="154" spans="1:15" x14ac:dyDescent="0.35">
      <c r="A154" t="s">
        <v>488</v>
      </c>
      <c r="B154" s="1" t="s">
        <v>399</v>
      </c>
      <c r="C154" s="1" t="s">
        <v>29</v>
      </c>
      <c r="D154" s="1" t="s">
        <v>61</v>
      </c>
      <c r="E154" s="1" t="s">
        <v>30</v>
      </c>
      <c r="F154" s="1" t="s">
        <v>35</v>
      </c>
      <c r="G154" s="1" t="s">
        <v>23</v>
      </c>
      <c r="H154" s="1">
        <v>36</v>
      </c>
      <c r="I154" s="1" t="str">
        <f t="shared" si="2"/>
        <v>31-45</v>
      </c>
      <c r="J154" s="3">
        <v>40434</v>
      </c>
      <c r="K154" s="4">
        <v>157070</v>
      </c>
      <c r="L154" s="5">
        <v>0.08</v>
      </c>
      <c r="M154" s="1" t="s">
        <v>24</v>
      </c>
      <c r="N154" s="1" t="s">
        <v>400</v>
      </c>
      <c r="O154" s="6" t="s">
        <v>26</v>
      </c>
    </row>
    <row r="155" spans="1:15" x14ac:dyDescent="0.35">
      <c r="A155" t="s">
        <v>489</v>
      </c>
      <c r="B155" s="1" t="s">
        <v>402</v>
      </c>
      <c r="C155" s="1" t="s">
        <v>29</v>
      </c>
      <c r="D155" s="1" t="s">
        <v>187</v>
      </c>
      <c r="E155" s="1" t="s">
        <v>73</v>
      </c>
      <c r="F155" s="1" t="s">
        <v>35</v>
      </c>
      <c r="G155" s="1" t="s">
        <v>23</v>
      </c>
      <c r="H155" s="1">
        <v>55</v>
      </c>
      <c r="I155" s="1" t="str">
        <f t="shared" si="2"/>
        <v>46-60</v>
      </c>
      <c r="J155" s="3">
        <v>40468</v>
      </c>
      <c r="K155" s="4">
        <v>188727</v>
      </c>
      <c r="L155" s="5">
        <v>0.16</v>
      </c>
      <c r="M155" s="1" t="s">
        <v>403</v>
      </c>
      <c r="N155" s="1" t="s">
        <v>404</v>
      </c>
      <c r="O155" s="6" t="s">
        <v>26</v>
      </c>
    </row>
    <row r="156" spans="1:15" x14ac:dyDescent="0.35">
      <c r="A156" t="s">
        <v>490</v>
      </c>
      <c r="B156" s="1" t="s">
        <v>406</v>
      </c>
      <c r="C156" s="1" t="s">
        <v>102</v>
      </c>
      <c r="D156" s="1" t="s">
        <v>3</v>
      </c>
      <c r="E156" s="1" t="s">
        <v>21</v>
      </c>
      <c r="F156" s="1" t="s">
        <v>22</v>
      </c>
      <c r="G156" s="1" t="s">
        <v>23</v>
      </c>
      <c r="H156" s="1">
        <v>37</v>
      </c>
      <c r="I156" s="1" t="str">
        <f t="shared" si="2"/>
        <v>31-45</v>
      </c>
      <c r="J156" s="3">
        <v>40511</v>
      </c>
      <c r="K156" s="4">
        <v>146961</v>
      </c>
      <c r="L156" s="5">
        <v>0.11</v>
      </c>
      <c r="M156" s="1" t="s">
        <v>24</v>
      </c>
      <c r="N156" s="1" t="s">
        <v>407</v>
      </c>
      <c r="O156" s="6" t="s">
        <v>26</v>
      </c>
    </row>
    <row r="157" spans="1:15" x14ac:dyDescent="0.35">
      <c r="A157" t="s">
        <v>491</v>
      </c>
      <c r="B157" s="1" t="s">
        <v>409</v>
      </c>
      <c r="C157" s="1" t="s">
        <v>102</v>
      </c>
      <c r="D157" s="1" t="s">
        <v>56</v>
      </c>
      <c r="E157" s="1" t="s">
        <v>21</v>
      </c>
      <c r="F157" s="1" t="s">
        <v>35</v>
      </c>
      <c r="G157" s="1" t="s">
        <v>23</v>
      </c>
      <c r="H157" s="1">
        <v>37</v>
      </c>
      <c r="I157" s="1" t="str">
        <f t="shared" si="2"/>
        <v>31-45</v>
      </c>
      <c r="J157" s="3">
        <v>40560</v>
      </c>
      <c r="K157" s="4">
        <v>131353</v>
      </c>
      <c r="L157" s="5">
        <v>0.14000000000000001</v>
      </c>
      <c r="M157" s="1" t="s">
        <v>46</v>
      </c>
      <c r="N157" s="1" t="s">
        <v>410</v>
      </c>
      <c r="O157" s="6" t="s">
        <v>26</v>
      </c>
    </row>
    <row r="158" spans="1:15" x14ac:dyDescent="0.35">
      <c r="A158" t="s">
        <v>492</v>
      </c>
      <c r="B158" s="1" t="s">
        <v>412</v>
      </c>
      <c r="C158" s="1" t="s">
        <v>319</v>
      </c>
      <c r="D158" s="1" t="s">
        <v>1</v>
      </c>
      <c r="E158" s="1" t="s">
        <v>30</v>
      </c>
      <c r="F158" s="1" t="s">
        <v>35</v>
      </c>
      <c r="G158" s="1" t="s">
        <v>23</v>
      </c>
      <c r="H158" s="1">
        <v>40</v>
      </c>
      <c r="I158" s="1" t="str">
        <f t="shared" si="2"/>
        <v>31-45</v>
      </c>
      <c r="J158" s="3">
        <v>40563</v>
      </c>
      <c r="K158" s="4">
        <v>96719</v>
      </c>
      <c r="L158" s="5">
        <v>0.15</v>
      </c>
      <c r="M158" s="1" t="s">
        <v>24</v>
      </c>
      <c r="N158" s="1" t="s">
        <v>197</v>
      </c>
      <c r="O158" s="6" t="s">
        <v>26</v>
      </c>
    </row>
    <row r="159" spans="1:15" x14ac:dyDescent="0.35">
      <c r="A159" t="s">
        <v>493</v>
      </c>
      <c r="B159" s="1" t="s">
        <v>414</v>
      </c>
      <c r="C159" s="1" t="s">
        <v>29</v>
      </c>
      <c r="D159" s="1" t="s">
        <v>61</v>
      </c>
      <c r="E159" s="1" t="s">
        <v>41</v>
      </c>
      <c r="F159" s="1" t="s">
        <v>35</v>
      </c>
      <c r="G159" s="1" t="s">
        <v>23</v>
      </c>
      <c r="H159" s="1">
        <v>64</v>
      </c>
      <c r="I159" s="1" t="str">
        <f t="shared" si="2"/>
        <v>&gt;60</v>
      </c>
      <c r="J159" s="3">
        <v>40588</v>
      </c>
      <c r="K159" s="4">
        <v>171217</v>
      </c>
      <c r="L159" s="5">
        <v>0.17</v>
      </c>
      <c r="M159" s="1" t="s">
        <v>24</v>
      </c>
      <c r="N159" s="1" t="s">
        <v>415</v>
      </c>
      <c r="O159" s="6" t="s">
        <v>26</v>
      </c>
    </row>
    <row r="160" spans="1:15" x14ac:dyDescent="0.35">
      <c r="A160" t="s">
        <v>494</v>
      </c>
      <c r="B160" s="1" t="s">
        <v>417</v>
      </c>
      <c r="C160" s="1" t="s">
        <v>106</v>
      </c>
      <c r="D160" s="1" t="s">
        <v>56</v>
      </c>
      <c r="E160" s="1" t="s">
        <v>21</v>
      </c>
      <c r="F160" s="1" t="s">
        <v>22</v>
      </c>
      <c r="G160" s="1" t="s">
        <v>23</v>
      </c>
      <c r="H160" s="1">
        <v>35</v>
      </c>
      <c r="I160" s="1" t="str">
        <f t="shared" si="2"/>
        <v>31-45</v>
      </c>
      <c r="J160" s="3">
        <v>40596</v>
      </c>
      <c r="K160" s="4">
        <v>43336</v>
      </c>
      <c r="L160" s="5">
        <v>7.0000000000000007E-2</v>
      </c>
      <c r="M160" s="1" t="s">
        <v>46</v>
      </c>
      <c r="N160" s="1" t="s">
        <v>418</v>
      </c>
      <c r="O160" s="6">
        <v>44024</v>
      </c>
    </row>
    <row r="161" spans="1:15" x14ac:dyDescent="0.35">
      <c r="A161" t="s">
        <v>495</v>
      </c>
      <c r="B161" s="1" t="s">
        <v>420</v>
      </c>
      <c r="C161" s="1" t="s">
        <v>102</v>
      </c>
      <c r="D161" s="1" t="s">
        <v>80</v>
      </c>
      <c r="E161" s="1" t="s">
        <v>41</v>
      </c>
      <c r="F161" s="1" t="s">
        <v>35</v>
      </c>
      <c r="G161" s="1" t="s">
        <v>23</v>
      </c>
      <c r="H161" s="1">
        <v>42</v>
      </c>
      <c r="I161" s="1" t="str">
        <f t="shared" si="2"/>
        <v>31-45</v>
      </c>
      <c r="J161" s="3">
        <v>40620</v>
      </c>
      <c r="K161" s="4">
        <v>150034</v>
      </c>
      <c r="L161" s="5">
        <v>0.09</v>
      </c>
      <c r="M161" s="1" t="s">
        <v>24</v>
      </c>
      <c r="N161" s="1" t="s">
        <v>421</v>
      </c>
      <c r="O161" s="6" t="s">
        <v>26</v>
      </c>
    </row>
    <row r="162" spans="1:15" x14ac:dyDescent="0.35">
      <c r="A162" t="s">
        <v>496</v>
      </c>
      <c r="B162" s="1" t="s">
        <v>423</v>
      </c>
      <c r="C162" s="1" t="s">
        <v>2</v>
      </c>
      <c r="D162" s="1" t="s">
        <v>80</v>
      </c>
      <c r="E162" s="1" t="s">
        <v>21</v>
      </c>
      <c r="F162" s="1" t="s">
        <v>22</v>
      </c>
      <c r="G162" s="1" t="s">
        <v>23</v>
      </c>
      <c r="H162" s="1">
        <v>46</v>
      </c>
      <c r="I162" s="1" t="str">
        <f t="shared" si="2"/>
        <v>46-60</v>
      </c>
      <c r="J162" s="3">
        <v>40657</v>
      </c>
      <c r="K162" s="4">
        <v>55894</v>
      </c>
      <c r="L162" s="5">
        <v>7.0000000000000007E-2</v>
      </c>
      <c r="M162" s="1" t="s">
        <v>24</v>
      </c>
      <c r="N162" s="1" t="s">
        <v>388</v>
      </c>
      <c r="O162" s="6" t="s">
        <v>26</v>
      </c>
    </row>
    <row r="163" spans="1:15" x14ac:dyDescent="0.35">
      <c r="A163" t="s">
        <v>497</v>
      </c>
      <c r="B163" s="1" t="s">
        <v>425</v>
      </c>
      <c r="C163" s="1" t="s">
        <v>102</v>
      </c>
      <c r="D163" s="1" t="s">
        <v>80</v>
      </c>
      <c r="E163" s="1" t="s">
        <v>73</v>
      </c>
      <c r="F163" s="1" t="s">
        <v>35</v>
      </c>
      <c r="G163" s="1" t="s">
        <v>23</v>
      </c>
      <c r="H163" s="1">
        <v>37</v>
      </c>
      <c r="I163" s="1" t="str">
        <f t="shared" si="2"/>
        <v>31-45</v>
      </c>
      <c r="J163" s="3">
        <v>40657</v>
      </c>
      <c r="K163" s="4">
        <v>131183</v>
      </c>
      <c r="L163" s="5">
        <v>0.08</v>
      </c>
      <c r="M163" s="1" t="s">
        <v>46</v>
      </c>
      <c r="N163" s="1" t="s">
        <v>426</v>
      </c>
      <c r="O163" s="6">
        <v>42445</v>
      </c>
    </row>
    <row r="164" spans="1:15" x14ac:dyDescent="0.35">
      <c r="A164" t="s">
        <v>498</v>
      </c>
      <c r="B164" s="1" t="s">
        <v>428</v>
      </c>
      <c r="C164" s="1" t="s">
        <v>234</v>
      </c>
      <c r="D164" s="1" t="s">
        <v>20</v>
      </c>
      <c r="E164" s="1" t="s">
        <v>21</v>
      </c>
      <c r="F164" s="1" t="s">
        <v>22</v>
      </c>
      <c r="G164" s="1" t="s">
        <v>23</v>
      </c>
      <c r="H164" s="1">
        <v>55</v>
      </c>
      <c r="I164" s="1" t="str">
        <f t="shared" si="2"/>
        <v>46-60</v>
      </c>
      <c r="J164" s="3">
        <v>40663</v>
      </c>
      <c r="K164" s="4">
        <v>89419</v>
      </c>
      <c r="L164" s="5">
        <v>0.15</v>
      </c>
      <c r="M164" s="1" t="s">
        <v>24</v>
      </c>
      <c r="N164" s="1" t="s">
        <v>429</v>
      </c>
      <c r="O164" s="6" t="s">
        <v>26</v>
      </c>
    </row>
    <row r="165" spans="1:15" x14ac:dyDescent="0.35">
      <c r="A165" t="s">
        <v>499</v>
      </c>
      <c r="B165" s="1" t="s">
        <v>431</v>
      </c>
      <c r="C165" s="1" t="s">
        <v>110</v>
      </c>
      <c r="D165" s="1" t="s">
        <v>187</v>
      </c>
      <c r="E165" s="1" t="s">
        <v>21</v>
      </c>
      <c r="F165" s="1" t="s">
        <v>22</v>
      </c>
      <c r="G165" s="1" t="s">
        <v>23</v>
      </c>
      <c r="H165" s="1">
        <v>59</v>
      </c>
      <c r="I165" s="1" t="str">
        <f t="shared" si="2"/>
        <v>46-60</v>
      </c>
      <c r="J165" s="3">
        <v>40681</v>
      </c>
      <c r="K165" s="4">
        <v>192213</v>
      </c>
      <c r="L165" s="5">
        <v>0.09</v>
      </c>
      <c r="M165" s="1" t="s">
        <v>36</v>
      </c>
      <c r="N165" s="1" t="s">
        <v>432</v>
      </c>
      <c r="O165" s="6" t="s">
        <v>26</v>
      </c>
    </row>
    <row r="166" spans="1:15" x14ac:dyDescent="0.35">
      <c r="A166" t="s">
        <v>500</v>
      </c>
      <c r="B166" s="1" t="s">
        <v>434</v>
      </c>
      <c r="C166" s="1" t="s">
        <v>110</v>
      </c>
      <c r="D166" s="1" t="s">
        <v>3</v>
      </c>
      <c r="E166" s="1" t="s">
        <v>41</v>
      </c>
      <c r="F166" s="1" t="s">
        <v>22</v>
      </c>
      <c r="G166" s="1" t="s">
        <v>23</v>
      </c>
      <c r="H166" s="1">
        <v>37</v>
      </c>
      <c r="I166" s="1" t="str">
        <f t="shared" si="2"/>
        <v>31-45</v>
      </c>
      <c r="J166" s="3">
        <v>40719</v>
      </c>
      <c r="K166" s="4">
        <v>221592</v>
      </c>
      <c r="L166" s="5">
        <v>0.15</v>
      </c>
      <c r="M166" s="1" t="s">
        <v>24</v>
      </c>
      <c r="N166" s="1" t="s">
        <v>435</v>
      </c>
      <c r="O166" s="6" t="s">
        <v>26</v>
      </c>
    </row>
    <row r="167" spans="1:15" x14ac:dyDescent="0.35">
      <c r="A167" t="s">
        <v>501</v>
      </c>
      <c r="B167" s="1" t="s">
        <v>437</v>
      </c>
      <c r="C167" s="1" t="s">
        <v>110</v>
      </c>
      <c r="D167" s="1" t="s">
        <v>80</v>
      </c>
      <c r="E167" s="1" t="s">
        <v>73</v>
      </c>
      <c r="F167" s="1" t="s">
        <v>35</v>
      </c>
      <c r="G167" s="1" t="s">
        <v>23</v>
      </c>
      <c r="H167" s="1">
        <v>54</v>
      </c>
      <c r="I167" s="1" t="str">
        <f t="shared" si="2"/>
        <v>46-60</v>
      </c>
      <c r="J167" s="3">
        <v>40734</v>
      </c>
      <c r="K167" s="4">
        <v>247022</v>
      </c>
      <c r="L167" s="5">
        <v>0.12</v>
      </c>
      <c r="M167" s="1" t="s">
        <v>304</v>
      </c>
      <c r="N167" s="1" t="s">
        <v>305</v>
      </c>
      <c r="O167" s="6" t="s">
        <v>26</v>
      </c>
    </row>
    <row r="168" spans="1:15" x14ac:dyDescent="0.35">
      <c r="A168" t="s">
        <v>502</v>
      </c>
      <c r="B168" s="1" t="s">
        <v>439</v>
      </c>
      <c r="C168" s="1" t="s">
        <v>65</v>
      </c>
      <c r="D168" s="1" t="s">
        <v>3</v>
      </c>
      <c r="E168" s="1" t="s">
        <v>30</v>
      </c>
      <c r="F168" s="1" t="s">
        <v>35</v>
      </c>
      <c r="G168" s="1" t="s">
        <v>23</v>
      </c>
      <c r="H168" s="1">
        <v>53</v>
      </c>
      <c r="I168" s="1" t="str">
        <f t="shared" si="2"/>
        <v>46-60</v>
      </c>
      <c r="J168" s="3">
        <v>40744</v>
      </c>
      <c r="K168" s="4">
        <v>86173</v>
      </c>
      <c r="L168" s="5">
        <v>0.17</v>
      </c>
      <c r="M168" s="1" t="s">
        <v>24</v>
      </c>
      <c r="N168" s="1" t="s">
        <v>440</v>
      </c>
      <c r="O168" s="6" t="s">
        <v>26</v>
      </c>
    </row>
    <row r="169" spans="1:15" x14ac:dyDescent="0.35">
      <c r="A169" t="s">
        <v>503</v>
      </c>
      <c r="B169" s="1" t="s">
        <v>442</v>
      </c>
      <c r="C169" s="1" t="s">
        <v>45</v>
      </c>
      <c r="D169" s="1" t="s">
        <v>187</v>
      </c>
      <c r="E169" s="1" t="s">
        <v>21</v>
      </c>
      <c r="F169" s="1" t="s">
        <v>22</v>
      </c>
      <c r="G169" s="1" t="s">
        <v>23</v>
      </c>
      <c r="H169" s="1">
        <v>34</v>
      </c>
      <c r="I169" s="1" t="str">
        <f t="shared" si="2"/>
        <v>31-45</v>
      </c>
      <c r="J169" s="3">
        <v>40750</v>
      </c>
      <c r="K169" s="4">
        <v>97231</v>
      </c>
      <c r="L169" s="5">
        <v>0.14000000000000001</v>
      </c>
      <c r="M169" s="1" t="s">
        <v>46</v>
      </c>
      <c r="N169" s="1" t="s">
        <v>443</v>
      </c>
      <c r="O169" s="6" t="s">
        <v>26</v>
      </c>
    </row>
    <row r="170" spans="1:15" x14ac:dyDescent="0.35">
      <c r="A170" t="s">
        <v>504</v>
      </c>
      <c r="B170" s="1" t="s">
        <v>445</v>
      </c>
      <c r="C170" s="1" t="s">
        <v>110</v>
      </c>
      <c r="D170" s="1" t="s">
        <v>20</v>
      </c>
      <c r="E170" s="1" t="s">
        <v>41</v>
      </c>
      <c r="F170" s="1" t="s">
        <v>22</v>
      </c>
      <c r="G170" s="1" t="s">
        <v>23</v>
      </c>
      <c r="H170" s="1">
        <v>35</v>
      </c>
      <c r="I170" s="1" t="str">
        <f t="shared" si="2"/>
        <v>31-45</v>
      </c>
      <c r="J170" s="3">
        <v>40826</v>
      </c>
      <c r="K170" s="4">
        <v>245482</v>
      </c>
      <c r="L170" s="5">
        <v>7.0000000000000007E-2</v>
      </c>
      <c r="M170" s="1" t="s">
        <v>24</v>
      </c>
      <c r="N170" s="1" t="s">
        <v>447</v>
      </c>
      <c r="O170" s="6" t="s">
        <v>26</v>
      </c>
    </row>
    <row r="171" spans="1:15" x14ac:dyDescent="0.35">
      <c r="A171" t="s">
        <v>505</v>
      </c>
      <c r="B171" s="1" t="s">
        <v>449</v>
      </c>
      <c r="C171" s="1" t="s">
        <v>19</v>
      </c>
      <c r="D171" s="1" t="s">
        <v>20</v>
      </c>
      <c r="E171" s="1" t="s">
        <v>73</v>
      </c>
      <c r="F171" s="1" t="s">
        <v>22</v>
      </c>
      <c r="G171" s="1" t="s">
        <v>23</v>
      </c>
      <c r="H171" s="1">
        <v>46</v>
      </c>
      <c r="I171" s="1" t="str">
        <f t="shared" si="2"/>
        <v>46-60</v>
      </c>
      <c r="J171" s="3">
        <v>40836</v>
      </c>
      <c r="K171" s="4">
        <v>114250</v>
      </c>
      <c r="L171" s="5">
        <v>0.06</v>
      </c>
      <c r="M171" s="1" t="s">
        <v>24</v>
      </c>
      <c r="N171" s="1" t="s">
        <v>450</v>
      </c>
      <c r="O171" s="6" t="s">
        <v>26</v>
      </c>
    </row>
    <row r="172" spans="1:15" x14ac:dyDescent="0.35">
      <c r="A172" t="s">
        <v>506</v>
      </c>
      <c r="B172" s="1" t="s">
        <v>452</v>
      </c>
      <c r="C172" s="1" t="s">
        <v>60</v>
      </c>
      <c r="D172" s="1" t="s">
        <v>1</v>
      </c>
      <c r="E172" s="1" t="s">
        <v>73</v>
      </c>
      <c r="F172" s="1" t="s">
        <v>35</v>
      </c>
      <c r="G172" s="1" t="s">
        <v>23</v>
      </c>
      <c r="H172" s="1">
        <v>45</v>
      </c>
      <c r="I172" s="1" t="str">
        <f t="shared" si="2"/>
        <v>31-45</v>
      </c>
      <c r="J172" s="3">
        <v>40836</v>
      </c>
      <c r="K172" s="4">
        <v>123640</v>
      </c>
      <c r="L172" s="5">
        <v>0.09</v>
      </c>
      <c r="M172" s="1" t="s">
        <v>36</v>
      </c>
      <c r="N172" s="1" t="s">
        <v>453</v>
      </c>
      <c r="O172" s="6" t="s">
        <v>26</v>
      </c>
    </row>
    <row r="173" spans="1:15" x14ac:dyDescent="0.35">
      <c r="A173" t="s">
        <v>507</v>
      </c>
      <c r="B173" s="1" t="s">
        <v>455</v>
      </c>
      <c r="C173" s="1" t="s">
        <v>319</v>
      </c>
      <c r="D173" s="1" t="s">
        <v>1</v>
      </c>
      <c r="E173" s="1" t="s">
        <v>30</v>
      </c>
      <c r="F173" s="1" t="s">
        <v>22</v>
      </c>
      <c r="G173" s="1" t="s">
        <v>23</v>
      </c>
      <c r="H173" s="1">
        <v>38</v>
      </c>
      <c r="I173" s="1" t="str">
        <f t="shared" si="2"/>
        <v>31-45</v>
      </c>
      <c r="J173" s="3">
        <v>40875</v>
      </c>
      <c r="K173" s="4">
        <v>74010</v>
      </c>
      <c r="L173" s="5">
        <v>0.13</v>
      </c>
      <c r="M173" s="1" t="s">
        <v>24</v>
      </c>
      <c r="N173" s="1" t="s">
        <v>456</v>
      </c>
      <c r="O173" s="6" t="s">
        <v>26</v>
      </c>
    </row>
    <row r="174" spans="1:15" x14ac:dyDescent="0.35">
      <c r="A174" t="s">
        <v>508</v>
      </c>
      <c r="B174" s="1" t="s">
        <v>458</v>
      </c>
      <c r="C174" s="1" t="s">
        <v>110</v>
      </c>
      <c r="D174" s="1" t="s">
        <v>80</v>
      </c>
      <c r="E174" s="1" t="s">
        <v>30</v>
      </c>
      <c r="F174" s="1" t="s">
        <v>35</v>
      </c>
      <c r="G174" s="1" t="s">
        <v>23</v>
      </c>
      <c r="H174" s="1">
        <v>37</v>
      </c>
      <c r="I174" s="1" t="str">
        <f t="shared" si="2"/>
        <v>31-45</v>
      </c>
      <c r="J174" s="3">
        <v>40883</v>
      </c>
      <c r="K174" s="4">
        <v>225558</v>
      </c>
      <c r="L174" s="5">
        <v>0.15</v>
      </c>
      <c r="M174" s="1" t="s">
        <v>403</v>
      </c>
      <c r="N174" s="1" t="s">
        <v>459</v>
      </c>
      <c r="O174" s="6" t="s">
        <v>26</v>
      </c>
    </row>
    <row r="175" spans="1:15" x14ac:dyDescent="0.35">
      <c r="A175" t="s">
        <v>509</v>
      </c>
      <c r="B175" s="1" t="s">
        <v>461</v>
      </c>
      <c r="C175" s="1" t="s">
        <v>2</v>
      </c>
      <c r="D175" s="1" t="s">
        <v>187</v>
      </c>
      <c r="E175" s="1" t="s">
        <v>30</v>
      </c>
      <c r="F175" s="1" t="s">
        <v>35</v>
      </c>
      <c r="G175" s="1" t="s">
        <v>23</v>
      </c>
      <c r="H175" s="1">
        <v>55</v>
      </c>
      <c r="I175" s="1" t="str">
        <f t="shared" si="2"/>
        <v>46-60</v>
      </c>
      <c r="J175" s="3">
        <v>40899</v>
      </c>
      <c r="K175" s="4">
        <v>54733</v>
      </c>
      <c r="L175" s="5">
        <v>0.09</v>
      </c>
      <c r="M175" s="1" t="s">
        <v>462</v>
      </c>
      <c r="N175" s="1" t="s">
        <v>463</v>
      </c>
      <c r="O175" s="6" t="s">
        <v>26</v>
      </c>
    </row>
    <row r="176" spans="1:15" x14ac:dyDescent="0.35">
      <c r="A176" t="s">
        <v>510</v>
      </c>
      <c r="B176" s="1" t="s">
        <v>465</v>
      </c>
      <c r="C176" s="1" t="s">
        <v>45</v>
      </c>
      <c r="D176" s="1" t="s">
        <v>80</v>
      </c>
      <c r="E176" s="1" t="s">
        <v>73</v>
      </c>
      <c r="F176" s="1" t="s">
        <v>35</v>
      </c>
      <c r="G176" s="1" t="s">
        <v>23</v>
      </c>
      <c r="H176" s="1">
        <v>33</v>
      </c>
      <c r="I176" s="1" t="str">
        <f t="shared" si="2"/>
        <v>31-45</v>
      </c>
      <c r="J176" s="3">
        <v>40936</v>
      </c>
      <c r="K176" s="4">
        <v>95960</v>
      </c>
      <c r="L176" s="5">
        <v>0.08</v>
      </c>
      <c r="M176" s="1" t="s">
        <v>218</v>
      </c>
      <c r="N176" s="1" t="s">
        <v>466</v>
      </c>
      <c r="O176" s="6" t="s">
        <v>26</v>
      </c>
    </row>
    <row r="177" spans="1:15" x14ac:dyDescent="0.35">
      <c r="A177" t="s">
        <v>511</v>
      </c>
      <c r="B177" s="1" t="s">
        <v>468</v>
      </c>
      <c r="C177" s="1" t="s">
        <v>60</v>
      </c>
      <c r="D177" s="1" t="s">
        <v>187</v>
      </c>
      <c r="E177" s="1" t="s">
        <v>73</v>
      </c>
      <c r="F177" s="1" t="s">
        <v>22</v>
      </c>
      <c r="G177" s="1" t="s">
        <v>23</v>
      </c>
      <c r="H177" s="1">
        <v>34</v>
      </c>
      <c r="I177" s="1" t="str">
        <f t="shared" si="2"/>
        <v>31-45</v>
      </c>
      <c r="J177" s="3">
        <v>40952</v>
      </c>
      <c r="K177" s="4">
        <v>118708</v>
      </c>
      <c r="L177" s="5">
        <v>0.17</v>
      </c>
      <c r="M177" s="1" t="s">
        <v>24</v>
      </c>
      <c r="N177" s="1" t="s">
        <v>470</v>
      </c>
      <c r="O177" s="6" t="s">
        <v>26</v>
      </c>
    </row>
    <row r="178" spans="1:15" x14ac:dyDescent="0.35">
      <c r="A178" t="s">
        <v>512</v>
      </c>
      <c r="B178" s="1" t="s">
        <v>472</v>
      </c>
      <c r="C178" s="1" t="s">
        <v>123</v>
      </c>
      <c r="D178" s="1" t="s">
        <v>3</v>
      </c>
      <c r="E178" s="1" t="s">
        <v>21</v>
      </c>
      <c r="F178" s="1" t="s">
        <v>35</v>
      </c>
      <c r="G178" s="1" t="s">
        <v>23</v>
      </c>
      <c r="H178" s="1">
        <v>51</v>
      </c>
      <c r="I178" s="1" t="str">
        <f t="shared" si="2"/>
        <v>46-60</v>
      </c>
      <c r="J178" s="3">
        <v>40964</v>
      </c>
      <c r="K178" s="4">
        <v>64170</v>
      </c>
      <c r="L178" s="5">
        <v>0.14000000000000001</v>
      </c>
      <c r="M178" s="1" t="s">
        <v>46</v>
      </c>
      <c r="N178" s="1" t="s">
        <v>473</v>
      </c>
      <c r="O178" s="6" t="s">
        <v>26</v>
      </c>
    </row>
    <row r="179" spans="1:15" x14ac:dyDescent="0.35">
      <c r="A179" t="s">
        <v>513</v>
      </c>
      <c r="B179" s="1" t="s">
        <v>475</v>
      </c>
      <c r="C179" s="1" t="s">
        <v>40</v>
      </c>
      <c r="D179" s="1" t="s">
        <v>20</v>
      </c>
      <c r="E179" s="1" t="s">
        <v>30</v>
      </c>
      <c r="F179" s="1" t="s">
        <v>35</v>
      </c>
      <c r="G179" s="1" t="s">
        <v>23</v>
      </c>
      <c r="H179" s="1">
        <v>45</v>
      </c>
      <c r="I179" s="1" t="str">
        <f t="shared" si="2"/>
        <v>31-45</v>
      </c>
      <c r="J179" s="3">
        <v>40967</v>
      </c>
      <c r="K179" s="4">
        <v>89659</v>
      </c>
      <c r="L179" s="5">
        <v>0.14000000000000001</v>
      </c>
      <c r="M179" s="1" t="s">
        <v>46</v>
      </c>
      <c r="N179" s="1" t="s">
        <v>476</v>
      </c>
      <c r="O179" s="6" t="s">
        <v>26</v>
      </c>
    </row>
    <row r="180" spans="1:15" x14ac:dyDescent="0.35">
      <c r="A180" t="s">
        <v>514</v>
      </c>
      <c r="B180" s="1" t="s">
        <v>478</v>
      </c>
      <c r="C180" s="1" t="s">
        <v>60</v>
      </c>
      <c r="D180" s="1" t="s">
        <v>61</v>
      </c>
      <c r="E180" s="1" t="s">
        <v>41</v>
      </c>
      <c r="F180" s="1" t="s">
        <v>35</v>
      </c>
      <c r="G180" s="1" t="s">
        <v>23</v>
      </c>
      <c r="H180" s="1">
        <v>50</v>
      </c>
      <c r="I180" s="1" t="str">
        <f t="shared" si="2"/>
        <v>46-60</v>
      </c>
      <c r="J180" s="3">
        <v>40979</v>
      </c>
      <c r="K180" s="4">
        <v>108134</v>
      </c>
      <c r="L180" s="5">
        <v>0.08</v>
      </c>
      <c r="M180" s="1" t="s">
        <v>24</v>
      </c>
      <c r="N180" s="1" t="s">
        <v>479</v>
      </c>
      <c r="O180" s="6" t="s">
        <v>26</v>
      </c>
    </row>
    <row r="181" spans="1:15" x14ac:dyDescent="0.35">
      <c r="A181" t="s">
        <v>515</v>
      </c>
      <c r="B181" s="1" t="s">
        <v>18</v>
      </c>
      <c r="C181" s="1" t="s">
        <v>60</v>
      </c>
      <c r="D181" s="1" t="s">
        <v>56</v>
      </c>
      <c r="E181" s="1" t="s">
        <v>73</v>
      </c>
      <c r="F181" s="1" t="s">
        <v>22</v>
      </c>
      <c r="G181" s="1" t="s">
        <v>23</v>
      </c>
      <c r="H181" s="1">
        <v>50</v>
      </c>
      <c r="I181" s="1" t="str">
        <f t="shared" si="2"/>
        <v>46-60</v>
      </c>
      <c r="J181" s="3">
        <v>40983</v>
      </c>
      <c r="K181" s="4">
        <v>117226</v>
      </c>
      <c r="L181" s="5">
        <v>0.05</v>
      </c>
      <c r="M181" s="1" t="s">
        <v>24</v>
      </c>
      <c r="N181" s="1" t="s">
        <v>25</v>
      </c>
      <c r="O181" s="6" t="s">
        <v>26</v>
      </c>
    </row>
    <row r="182" spans="1:15" x14ac:dyDescent="0.35">
      <c r="A182" t="s">
        <v>516</v>
      </c>
      <c r="B182" s="1" t="s">
        <v>28</v>
      </c>
      <c r="C182" s="1" t="s">
        <v>45</v>
      </c>
      <c r="D182" s="1" t="s">
        <v>61</v>
      </c>
      <c r="E182" s="1" t="s">
        <v>41</v>
      </c>
      <c r="F182" s="1" t="s">
        <v>22</v>
      </c>
      <c r="G182" s="1" t="s">
        <v>23</v>
      </c>
      <c r="H182" s="1">
        <v>51</v>
      </c>
      <c r="I182" s="1" t="str">
        <f t="shared" si="2"/>
        <v>46-60</v>
      </c>
      <c r="J182" s="3">
        <v>41013</v>
      </c>
      <c r="K182" s="4">
        <v>82300</v>
      </c>
      <c r="L182" s="5">
        <v>0.06</v>
      </c>
      <c r="M182" s="1" t="s">
        <v>24</v>
      </c>
      <c r="N182" s="1" t="s">
        <v>31</v>
      </c>
      <c r="O182" s="6" t="s">
        <v>26</v>
      </c>
    </row>
    <row r="183" spans="1:15" x14ac:dyDescent="0.35">
      <c r="A183" t="s">
        <v>517</v>
      </c>
      <c r="B183" s="1" t="s">
        <v>33</v>
      </c>
      <c r="C183" s="1" t="s">
        <v>40</v>
      </c>
      <c r="D183" s="1" t="s">
        <v>20</v>
      </c>
      <c r="E183" s="1" t="s">
        <v>41</v>
      </c>
      <c r="F183" s="1" t="s">
        <v>35</v>
      </c>
      <c r="G183" s="1" t="s">
        <v>23</v>
      </c>
      <c r="H183" s="1">
        <v>42</v>
      </c>
      <c r="I183" s="1" t="str">
        <f t="shared" si="2"/>
        <v>31-45</v>
      </c>
      <c r="J183" s="3">
        <v>41026</v>
      </c>
      <c r="K183" s="4">
        <v>72903</v>
      </c>
      <c r="L183" s="5">
        <v>0.12</v>
      </c>
      <c r="M183" s="1" t="s">
        <v>36</v>
      </c>
      <c r="N183" s="1" t="s">
        <v>37</v>
      </c>
      <c r="O183" s="6" t="s">
        <v>26</v>
      </c>
    </row>
    <row r="184" spans="1:15" x14ac:dyDescent="0.35">
      <c r="A184" t="s">
        <v>518</v>
      </c>
      <c r="B184" s="1" t="s">
        <v>39</v>
      </c>
      <c r="C184" s="1" t="s">
        <v>446</v>
      </c>
      <c r="D184" s="1" t="s">
        <v>20</v>
      </c>
      <c r="E184" s="1" t="s">
        <v>73</v>
      </c>
      <c r="F184" s="1" t="s">
        <v>35</v>
      </c>
      <c r="G184" s="1" t="s">
        <v>23</v>
      </c>
      <c r="H184" s="1">
        <v>48</v>
      </c>
      <c r="I184" s="1" t="str">
        <f t="shared" si="2"/>
        <v>46-60</v>
      </c>
      <c r="J184" s="3">
        <v>41032</v>
      </c>
      <c r="K184" s="4">
        <v>65340</v>
      </c>
      <c r="L184" s="5">
        <v>0.06</v>
      </c>
      <c r="M184" s="1" t="s">
        <v>24</v>
      </c>
      <c r="N184" s="1" t="s">
        <v>42</v>
      </c>
      <c r="O184" s="6">
        <v>43229</v>
      </c>
    </row>
    <row r="185" spans="1:15" x14ac:dyDescent="0.35">
      <c r="A185" t="s">
        <v>519</v>
      </c>
      <c r="B185" s="1" t="s">
        <v>44</v>
      </c>
      <c r="C185" s="1" t="s">
        <v>110</v>
      </c>
      <c r="D185" s="1" t="s">
        <v>3</v>
      </c>
      <c r="E185" s="1" t="s">
        <v>30</v>
      </c>
      <c r="F185" s="1" t="s">
        <v>22</v>
      </c>
      <c r="G185" s="1" t="s">
        <v>23</v>
      </c>
      <c r="H185" s="1">
        <v>63</v>
      </c>
      <c r="I185" s="1" t="str">
        <f t="shared" si="2"/>
        <v>&gt;60</v>
      </c>
      <c r="J185" s="3">
        <v>41040</v>
      </c>
      <c r="K185" s="4">
        <v>231141</v>
      </c>
      <c r="L185" s="5">
        <v>0.15</v>
      </c>
      <c r="M185" s="1" t="s">
        <v>46</v>
      </c>
      <c r="N185" s="1" t="s">
        <v>47</v>
      </c>
      <c r="O185" s="6" t="s">
        <v>26</v>
      </c>
    </row>
    <row r="186" spans="1:15" x14ac:dyDescent="0.35">
      <c r="A186" t="s">
        <v>520</v>
      </c>
      <c r="B186" s="1" t="s">
        <v>49</v>
      </c>
      <c r="C186" s="1" t="s">
        <v>29</v>
      </c>
      <c r="D186" s="1" t="s">
        <v>56</v>
      </c>
      <c r="E186" s="1" t="s">
        <v>21</v>
      </c>
      <c r="F186" s="1" t="s">
        <v>22</v>
      </c>
      <c r="G186" s="1" t="s">
        <v>23</v>
      </c>
      <c r="H186" s="1">
        <v>37</v>
      </c>
      <c r="I186" s="1" t="str">
        <f t="shared" si="2"/>
        <v>31-45</v>
      </c>
      <c r="J186" s="3">
        <v>41048</v>
      </c>
      <c r="K186" s="4">
        <v>160280</v>
      </c>
      <c r="L186" s="5">
        <v>0.15</v>
      </c>
      <c r="M186" s="1" t="s">
        <v>51</v>
      </c>
      <c r="N186" s="1" t="s">
        <v>52</v>
      </c>
      <c r="O186" s="6" t="s">
        <v>26</v>
      </c>
    </row>
    <row r="187" spans="1:15" x14ac:dyDescent="0.35">
      <c r="A187" t="s">
        <v>521</v>
      </c>
      <c r="B187" s="1" t="s">
        <v>54</v>
      </c>
      <c r="C187" s="1" t="s">
        <v>110</v>
      </c>
      <c r="D187" s="1" t="s">
        <v>20</v>
      </c>
      <c r="E187" s="1" t="s">
        <v>73</v>
      </c>
      <c r="F187" s="1" t="s">
        <v>22</v>
      </c>
      <c r="G187" s="1" t="s">
        <v>23</v>
      </c>
      <c r="H187" s="1">
        <v>47</v>
      </c>
      <c r="I187" s="1" t="str">
        <f t="shared" si="2"/>
        <v>46-60</v>
      </c>
      <c r="J187" s="3">
        <v>41071</v>
      </c>
      <c r="K187" s="4">
        <v>222941</v>
      </c>
      <c r="L187" s="5">
        <v>0.17</v>
      </c>
      <c r="M187" s="1" t="s">
        <v>24</v>
      </c>
      <c r="N187" s="1" t="s">
        <v>57</v>
      </c>
      <c r="O187" s="6" t="s">
        <v>26</v>
      </c>
    </row>
    <row r="188" spans="1:15" x14ac:dyDescent="0.35">
      <c r="A188" t="s">
        <v>522</v>
      </c>
      <c r="B188" s="1" t="s">
        <v>59</v>
      </c>
      <c r="C188" s="1" t="s">
        <v>110</v>
      </c>
      <c r="D188" s="1" t="s">
        <v>56</v>
      </c>
      <c r="E188" s="1" t="s">
        <v>41</v>
      </c>
      <c r="F188" s="1" t="s">
        <v>35</v>
      </c>
      <c r="G188" s="1" t="s">
        <v>23</v>
      </c>
      <c r="H188" s="1">
        <v>52</v>
      </c>
      <c r="I188" s="1" t="str">
        <f t="shared" si="2"/>
        <v>46-60</v>
      </c>
      <c r="J188" s="3">
        <v>41113</v>
      </c>
      <c r="K188" s="4">
        <v>187048</v>
      </c>
      <c r="L188" s="5">
        <v>0.16</v>
      </c>
      <c r="M188" s="1" t="s">
        <v>46</v>
      </c>
      <c r="N188" s="1" t="s">
        <v>62</v>
      </c>
      <c r="O188" s="6" t="s">
        <v>26</v>
      </c>
    </row>
    <row r="189" spans="1:15" x14ac:dyDescent="0.35">
      <c r="A189" t="s">
        <v>523</v>
      </c>
      <c r="B189" s="1" t="s">
        <v>64</v>
      </c>
      <c r="C189" s="1" t="s">
        <v>60</v>
      </c>
      <c r="D189" s="1" t="s">
        <v>1</v>
      </c>
      <c r="E189" s="1" t="s">
        <v>21</v>
      </c>
      <c r="F189" s="1" t="s">
        <v>22</v>
      </c>
      <c r="G189" s="1" t="s">
        <v>23</v>
      </c>
      <c r="H189" s="1">
        <v>49</v>
      </c>
      <c r="I189" s="1" t="str">
        <f t="shared" si="2"/>
        <v>46-60</v>
      </c>
      <c r="J189" s="3">
        <v>41131</v>
      </c>
      <c r="K189" s="4">
        <v>109850</v>
      </c>
      <c r="L189" s="5">
        <v>0.14000000000000001</v>
      </c>
      <c r="M189" s="1" t="s">
        <v>24</v>
      </c>
      <c r="N189" s="1" t="s">
        <v>66</v>
      </c>
      <c r="O189" s="6">
        <v>43865</v>
      </c>
    </row>
    <row r="190" spans="1:15" x14ac:dyDescent="0.35">
      <c r="A190" t="s">
        <v>524</v>
      </c>
      <c r="B190" s="1" t="s">
        <v>68</v>
      </c>
      <c r="C190" s="1" t="s">
        <v>60</v>
      </c>
      <c r="D190" s="1" t="s">
        <v>187</v>
      </c>
      <c r="E190" s="1" t="s">
        <v>30</v>
      </c>
      <c r="F190" s="1" t="s">
        <v>35</v>
      </c>
      <c r="G190" s="1" t="s">
        <v>23</v>
      </c>
      <c r="H190" s="1">
        <v>50</v>
      </c>
      <c r="I190" s="1" t="str">
        <f t="shared" si="2"/>
        <v>46-60</v>
      </c>
      <c r="J190" s="3">
        <v>41155</v>
      </c>
      <c r="K190" s="4">
        <v>102033</v>
      </c>
      <c r="L190" s="5">
        <v>0.11</v>
      </c>
      <c r="M190" s="1" t="s">
        <v>24</v>
      </c>
      <c r="N190" s="1" t="s">
        <v>70</v>
      </c>
      <c r="O190" s="6" t="s">
        <v>26</v>
      </c>
    </row>
    <row r="191" spans="1:15" x14ac:dyDescent="0.35">
      <c r="A191" t="s">
        <v>525</v>
      </c>
      <c r="B191" s="1" t="s">
        <v>72</v>
      </c>
      <c r="C191" s="1" t="s">
        <v>60</v>
      </c>
      <c r="D191" s="1" t="s">
        <v>1</v>
      </c>
      <c r="E191" s="1" t="s">
        <v>73</v>
      </c>
      <c r="F191" s="1" t="s">
        <v>35</v>
      </c>
      <c r="G191" s="1" t="s">
        <v>23</v>
      </c>
      <c r="H191" s="1">
        <v>55</v>
      </c>
      <c r="I191" s="1" t="str">
        <f t="shared" si="2"/>
        <v>46-60</v>
      </c>
      <c r="J191" s="3">
        <v>41202</v>
      </c>
      <c r="K191" s="4">
        <v>108686</v>
      </c>
      <c r="L191" s="5">
        <v>0.16</v>
      </c>
      <c r="M191" s="1" t="s">
        <v>36</v>
      </c>
      <c r="N191" s="1" t="s">
        <v>74</v>
      </c>
      <c r="O191" s="6" t="s">
        <v>26</v>
      </c>
    </row>
    <row r="192" spans="1:15" x14ac:dyDescent="0.35">
      <c r="A192" t="s">
        <v>526</v>
      </c>
      <c r="B192" s="1" t="s">
        <v>76</v>
      </c>
      <c r="C192" s="1" t="s">
        <v>29</v>
      </c>
      <c r="D192" s="1" t="s">
        <v>20</v>
      </c>
      <c r="E192" s="1" t="s">
        <v>41</v>
      </c>
      <c r="F192" s="1" t="s">
        <v>22</v>
      </c>
      <c r="G192" s="1" t="s">
        <v>23</v>
      </c>
      <c r="H192" s="1">
        <v>53</v>
      </c>
      <c r="I192" s="1" t="str">
        <f t="shared" si="2"/>
        <v>46-60</v>
      </c>
      <c r="J192" s="3">
        <v>41204</v>
      </c>
      <c r="K192" s="4">
        <v>168510</v>
      </c>
      <c r="L192" s="5">
        <v>0.06</v>
      </c>
      <c r="M192" s="1" t="s">
        <v>24</v>
      </c>
      <c r="N192" s="1" t="s">
        <v>77</v>
      </c>
      <c r="O192" s="6" t="s">
        <v>26</v>
      </c>
    </row>
    <row r="193" spans="1:15" x14ac:dyDescent="0.35">
      <c r="A193" t="s">
        <v>527</v>
      </c>
      <c r="B193" s="1" t="s">
        <v>79</v>
      </c>
      <c r="C193" s="1" t="s">
        <v>29</v>
      </c>
      <c r="D193" s="1" t="s">
        <v>3</v>
      </c>
      <c r="E193" s="1" t="s">
        <v>73</v>
      </c>
      <c r="F193" s="1" t="s">
        <v>35</v>
      </c>
      <c r="G193" s="1" t="s">
        <v>23</v>
      </c>
      <c r="H193" s="1">
        <v>47</v>
      </c>
      <c r="I193" s="1" t="str">
        <f t="shared" si="2"/>
        <v>46-60</v>
      </c>
      <c r="J193" s="3">
        <v>41208</v>
      </c>
      <c r="K193" s="4">
        <v>183156</v>
      </c>
      <c r="L193" s="5">
        <v>0.05</v>
      </c>
      <c r="M193" s="1" t="s">
        <v>46</v>
      </c>
      <c r="N193" s="1" t="s">
        <v>81</v>
      </c>
      <c r="O193" s="6" t="s">
        <v>26</v>
      </c>
    </row>
    <row r="194" spans="1:15" x14ac:dyDescent="0.35">
      <c r="A194" t="s">
        <v>528</v>
      </c>
      <c r="B194" s="1" t="s">
        <v>83</v>
      </c>
      <c r="C194" s="1" t="s">
        <v>110</v>
      </c>
      <c r="D194" s="1" t="s">
        <v>187</v>
      </c>
      <c r="E194" s="1" t="s">
        <v>41</v>
      </c>
      <c r="F194" s="1" t="s">
        <v>35</v>
      </c>
      <c r="G194" s="1" t="s">
        <v>23</v>
      </c>
      <c r="H194" s="1">
        <v>38</v>
      </c>
      <c r="I194" s="1" t="str">
        <f t="shared" si="2"/>
        <v>31-45</v>
      </c>
      <c r="J194" s="3">
        <v>41256</v>
      </c>
      <c r="K194" s="4">
        <v>191571</v>
      </c>
      <c r="L194" s="5">
        <v>0.06</v>
      </c>
      <c r="M194" s="1" t="s">
        <v>24</v>
      </c>
      <c r="N194" s="1" t="s">
        <v>84</v>
      </c>
      <c r="O194" s="6" t="s">
        <v>26</v>
      </c>
    </row>
    <row r="195" spans="1:15" x14ac:dyDescent="0.35">
      <c r="A195" t="s">
        <v>529</v>
      </c>
      <c r="B195" s="1" t="s">
        <v>86</v>
      </c>
      <c r="C195" s="1" t="s">
        <v>130</v>
      </c>
      <c r="D195" s="1" t="s">
        <v>20</v>
      </c>
      <c r="E195" s="1" t="s">
        <v>73</v>
      </c>
      <c r="F195" s="1" t="s">
        <v>35</v>
      </c>
      <c r="G195" s="1" t="s">
        <v>23</v>
      </c>
      <c r="H195" s="1">
        <v>37</v>
      </c>
      <c r="I195" s="1" t="str">
        <f t="shared" ref="I195:I258" si="3">IF(H195&gt;=60,"&gt;60",IF(H195&gt;=46,"46-60",IF(H195&gt;=31,"31-45",IF(H195&gt;18,"18-30",""))))</f>
        <v>31-45</v>
      </c>
      <c r="J195" s="3">
        <v>41318</v>
      </c>
      <c r="K195" s="4">
        <v>124827</v>
      </c>
      <c r="L195" s="5">
        <v>7.0000000000000007E-2</v>
      </c>
      <c r="M195" s="1" t="s">
        <v>36</v>
      </c>
      <c r="N195" s="1" t="s">
        <v>87</v>
      </c>
      <c r="O195" s="6" t="s">
        <v>26</v>
      </c>
    </row>
    <row r="196" spans="1:15" x14ac:dyDescent="0.35">
      <c r="A196" t="s">
        <v>530</v>
      </c>
      <c r="B196" s="1" t="s">
        <v>89</v>
      </c>
      <c r="C196" s="1" t="s">
        <v>110</v>
      </c>
      <c r="D196" s="1" t="s">
        <v>61</v>
      </c>
      <c r="E196" s="1" t="s">
        <v>21</v>
      </c>
      <c r="F196" s="1" t="s">
        <v>35</v>
      </c>
      <c r="G196" s="1" t="s">
        <v>23</v>
      </c>
      <c r="H196" s="1">
        <v>41</v>
      </c>
      <c r="I196" s="1" t="str">
        <f t="shared" si="3"/>
        <v>31-45</v>
      </c>
      <c r="J196" s="3">
        <v>41346</v>
      </c>
      <c r="K196" s="4">
        <v>249270</v>
      </c>
      <c r="L196" s="5">
        <v>0.13</v>
      </c>
      <c r="M196" s="1" t="s">
        <v>24</v>
      </c>
      <c r="N196" s="1" t="s">
        <v>90</v>
      </c>
      <c r="O196" s="6" t="s">
        <v>26</v>
      </c>
    </row>
    <row r="197" spans="1:15" x14ac:dyDescent="0.35">
      <c r="A197" t="s">
        <v>531</v>
      </c>
      <c r="B197" s="1" t="s">
        <v>92</v>
      </c>
      <c r="C197" s="1" t="s">
        <v>110</v>
      </c>
      <c r="D197" s="1" t="s">
        <v>187</v>
      </c>
      <c r="E197" s="1" t="s">
        <v>41</v>
      </c>
      <c r="F197" s="1" t="s">
        <v>22</v>
      </c>
      <c r="G197" s="1" t="s">
        <v>23</v>
      </c>
      <c r="H197" s="1">
        <v>64</v>
      </c>
      <c r="I197" s="1" t="str">
        <f t="shared" si="3"/>
        <v>&gt;60</v>
      </c>
      <c r="J197" s="3">
        <v>41362</v>
      </c>
      <c r="K197" s="4">
        <v>252325</v>
      </c>
      <c r="L197" s="5">
        <v>0.05</v>
      </c>
      <c r="M197" s="1" t="s">
        <v>46</v>
      </c>
      <c r="N197" s="1" t="s">
        <v>93</v>
      </c>
      <c r="O197" s="6" t="s">
        <v>26</v>
      </c>
    </row>
    <row r="198" spans="1:15" x14ac:dyDescent="0.35">
      <c r="A198" t="s">
        <v>532</v>
      </c>
      <c r="B198" s="1" t="s">
        <v>95</v>
      </c>
      <c r="C198" s="1" t="s">
        <v>234</v>
      </c>
      <c r="D198" s="1" t="s">
        <v>20</v>
      </c>
      <c r="E198" s="1" t="s">
        <v>21</v>
      </c>
      <c r="F198" s="1" t="s">
        <v>35</v>
      </c>
      <c r="G198" s="1" t="s">
        <v>23</v>
      </c>
      <c r="H198" s="1">
        <v>50</v>
      </c>
      <c r="I198" s="1" t="str">
        <f t="shared" si="3"/>
        <v>46-60</v>
      </c>
      <c r="J198" s="3">
        <v>41404</v>
      </c>
      <c r="K198" s="4">
        <v>79388</v>
      </c>
      <c r="L198" s="5">
        <v>0.12</v>
      </c>
      <c r="M198" s="1" t="s">
        <v>24</v>
      </c>
      <c r="N198" s="1" t="s">
        <v>96</v>
      </c>
      <c r="O198" s="6">
        <v>43681</v>
      </c>
    </row>
    <row r="199" spans="1:15" x14ac:dyDescent="0.35">
      <c r="A199" t="s">
        <v>533</v>
      </c>
      <c r="B199" s="1" t="s">
        <v>98</v>
      </c>
      <c r="C199" s="1" t="s">
        <v>110</v>
      </c>
      <c r="D199" s="1" t="s">
        <v>20</v>
      </c>
      <c r="E199" s="1" t="s">
        <v>41</v>
      </c>
      <c r="F199" s="1" t="s">
        <v>22</v>
      </c>
      <c r="G199" s="1" t="s">
        <v>23</v>
      </c>
      <c r="H199" s="1">
        <v>63</v>
      </c>
      <c r="I199" s="1" t="str">
        <f t="shared" si="3"/>
        <v>&gt;60</v>
      </c>
      <c r="J199" s="3">
        <v>41428</v>
      </c>
      <c r="K199" s="4">
        <v>254289</v>
      </c>
      <c r="L199" s="5">
        <v>0.08</v>
      </c>
      <c r="M199" s="1" t="s">
        <v>24</v>
      </c>
      <c r="N199" s="1" t="s">
        <v>99</v>
      </c>
      <c r="O199" s="6" t="s">
        <v>26</v>
      </c>
    </row>
    <row r="200" spans="1:15" x14ac:dyDescent="0.35">
      <c r="A200" t="s">
        <v>534</v>
      </c>
      <c r="B200" s="1" t="s">
        <v>101</v>
      </c>
      <c r="C200" s="1" t="s">
        <v>274</v>
      </c>
      <c r="D200" s="1" t="s">
        <v>3</v>
      </c>
      <c r="E200" s="1" t="s">
        <v>73</v>
      </c>
      <c r="F200" s="1" t="s">
        <v>35</v>
      </c>
      <c r="G200" s="1" t="s">
        <v>23</v>
      </c>
      <c r="H200" s="1">
        <v>40</v>
      </c>
      <c r="I200" s="1" t="str">
        <f t="shared" si="3"/>
        <v>31-45</v>
      </c>
      <c r="J200" s="3">
        <v>41451</v>
      </c>
      <c r="K200" s="4">
        <v>69096</v>
      </c>
      <c r="L200" s="5">
        <v>0.15</v>
      </c>
      <c r="M200" s="1" t="s">
        <v>46</v>
      </c>
      <c r="N200" s="1" t="s">
        <v>103</v>
      </c>
      <c r="O200" s="6" t="s">
        <v>26</v>
      </c>
    </row>
    <row r="201" spans="1:15" x14ac:dyDescent="0.35">
      <c r="A201" t="s">
        <v>535</v>
      </c>
      <c r="B201" s="1" t="s">
        <v>105</v>
      </c>
      <c r="C201" s="1" t="s">
        <v>536</v>
      </c>
      <c r="D201" s="1" t="s">
        <v>3</v>
      </c>
      <c r="E201" s="1" t="s">
        <v>21</v>
      </c>
      <c r="F201" s="1" t="s">
        <v>22</v>
      </c>
      <c r="G201" s="1" t="s">
        <v>23</v>
      </c>
      <c r="H201" s="1">
        <v>54</v>
      </c>
      <c r="I201" s="1" t="str">
        <f t="shared" si="3"/>
        <v>46-60</v>
      </c>
      <c r="J201" s="3">
        <v>41468</v>
      </c>
      <c r="K201" s="4">
        <v>83639</v>
      </c>
      <c r="L201" s="5">
        <v>0.09</v>
      </c>
      <c r="M201" s="1" t="s">
        <v>24</v>
      </c>
      <c r="N201" s="1" t="s">
        <v>107</v>
      </c>
      <c r="O201" s="6" t="s">
        <v>26</v>
      </c>
    </row>
    <row r="202" spans="1:15" x14ac:dyDescent="0.35">
      <c r="A202" t="s">
        <v>537</v>
      </c>
      <c r="B202" s="1" t="s">
        <v>109</v>
      </c>
      <c r="C202" s="1" t="s">
        <v>329</v>
      </c>
      <c r="D202" s="1" t="s">
        <v>3</v>
      </c>
      <c r="E202" s="1" t="s">
        <v>30</v>
      </c>
      <c r="F202" s="1" t="s">
        <v>35</v>
      </c>
      <c r="G202" s="1" t="s">
        <v>23</v>
      </c>
      <c r="H202" s="1">
        <v>45</v>
      </c>
      <c r="I202" s="1" t="str">
        <f t="shared" si="3"/>
        <v>31-45</v>
      </c>
      <c r="J202" s="3">
        <v>41511</v>
      </c>
      <c r="K202" s="4">
        <v>99169</v>
      </c>
      <c r="L202" s="5">
        <v>0.15</v>
      </c>
      <c r="M202" s="1" t="s">
        <v>24</v>
      </c>
      <c r="N202" s="1" t="s">
        <v>111</v>
      </c>
      <c r="O202" s="6" t="s">
        <v>26</v>
      </c>
    </row>
    <row r="203" spans="1:15" x14ac:dyDescent="0.35">
      <c r="A203" t="s">
        <v>538</v>
      </c>
      <c r="B203" s="1" t="s">
        <v>113</v>
      </c>
      <c r="C203" s="1" t="s">
        <v>162</v>
      </c>
      <c r="D203" s="1" t="s">
        <v>1</v>
      </c>
      <c r="E203" s="1" t="s">
        <v>41</v>
      </c>
      <c r="F203" s="1" t="s">
        <v>22</v>
      </c>
      <c r="G203" s="1" t="s">
        <v>23</v>
      </c>
      <c r="H203" s="1">
        <v>35</v>
      </c>
      <c r="I203" s="1" t="str">
        <f t="shared" si="3"/>
        <v>31-45</v>
      </c>
      <c r="J203" s="3">
        <v>41516</v>
      </c>
      <c r="K203" s="4">
        <v>59646</v>
      </c>
      <c r="L203" s="5">
        <v>0.09</v>
      </c>
      <c r="M203" s="1" t="s">
        <v>46</v>
      </c>
      <c r="N203" s="1" t="s">
        <v>114</v>
      </c>
      <c r="O203" s="6" t="s">
        <v>26</v>
      </c>
    </row>
    <row r="204" spans="1:15" x14ac:dyDescent="0.35">
      <c r="A204" t="s">
        <v>539</v>
      </c>
      <c r="B204" s="1" t="s">
        <v>116</v>
      </c>
      <c r="C204" s="1" t="s">
        <v>540</v>
      </c>
      <c r="D204" s="1" t="s">
        <v>20</v>
      </c>
      <c r="E204" s="1" t="s">
        <v>21</v>
      </c>
      <c r="F204" s="1" t="s">
        <v>35</v>
      </c>
      <c r="G204" s="1" t="s">
        <v>23</v>
      </c>
      <c r="H204" s="1">
        <v>55</v>
      </c>
      <c r="I204" s="1" t="str">
        <f t="shared" si="3"/>
        <v>46-60</v>
      </c>
      <c r="J204" s="3">
        <v>41525</v>
      </c>
      <c r="K204" s="4">
        <v>73248</v>
      </c>
      <c r="L204" s="5">
        <v>0.1</v>
      </c>
      <c r="M204" s="1" t="s">
        <v>24</v>
      </c>
      <c r="N204" s="1" t="s">
        <v>117</v>
      </c>
      <c r="O204" s="6" t="s">
        <v>26</v>
      </c>
    </row>
    <row r="205" spans="1:15" x14ac:dyDescent="0.35">
      <c r="A205" t="s">
        <v>541</v>
      </c>
      <c r="B205" s="1" t="s">
        <v>119</v>
      </c>
      <c r="C205" s="1" t="s">
        <v>2</v>
      </c>
      <c r="D205" s="1" t="s">
        <v>61</v>
      </c>
      <c r="E205" s="1" t="s">
        <v>41</v>
      </c>
      <c r="F205" s="1" t="s">
        <v>35</v>
      </c>
      <c r="G205" s="1" t="s">
        <v>23</v>
      </c>
      <c r="H205" s="1">
        <v>65</v>
      </c>
      <c r="I205" s="1" t="str">
        <f t="shared" si="3"/>
        <v>&gt;60</v>
      </c>
      <c r="J205" s="3">
        <v>41543</v>
      </c>
      <c r="K205" s="4">
        <v>50341</v>
      </c>
      <c r="L205" s="5">
        <v>0.1</v>
      </c>
      <c r="M205" s="1" t="s">
        <v>24</v>
      </c>
      <c r="N205" s="1" t="s">
        <v>120</v>
      </c>
      <c r="O205" s="6" t="s">
        <v>26</v>
      </c>
    </row>
    <row r="206" spans="1:15" x14ac:dyDescent="0.35">
      <c r="A206" t="s">
        <v>542</v>
      </c>
      <c r="B206" s="1" t="s">
        <v>122</v>
      </c>
      <c r="C206" s="1" t="s">
        <v>162</v>
      </c>
      <c r="D206" s="1" t="s">
        <v>1</v>
      </c>
      <c r="E206" s="1" t="s">
        <v>73</v>
      </c>
      <c r="F206" s="1" t="s">
        <v>22</v>
      </c>
      <c r="G206" s="1" t="s">
        <v>23</v>
      </c>
      <c r="H206" s="1">
        <v>37</v>
      </c>
      <c r="I206" s="1" t="str">
        <f t="shared" si="3"/>
        <v>31-45</v>
      </c>
      <c r="J206" s="3">
        <v>41592</v>
      </c>
      <c r="K206" s="4">
        <v>56037</v>
      </c>
      <c r="L206" s="5">
        <v>0.14000000000000001</v>
      </c>
      <c r="M206" s="1" t="s">
        <v>46</v>
      </c>
      <c r="N206" s="1" t="s">
        <v>124</v>
      </c>
      <c r="O206" s="6" t="s">
        <v>26</v>
      </c>
    </row>
    <row r="207" spans="1:15" x14ac:dyDescent="0.35">
      <c r="A207" t="s">
        <v>543</v>
      </c>
      <c r="B207" s="1" t="s">
        <v>126</v>
      </c>
      <c r="C207" s="1" t="s">
        <v>144</v>
      </c>
      <c r="D207" s="1" t="s">
        <v>1</v>
      </c>
      <c r="E207" s="1" t="s">
        <v>73</v>
      </c>
      <c r="F207" s="1" t="s">
        <v>35</v>
      </c>
      <c r="G207" s="1" t="s">
        <v>23</v>
      </c>
      <c r="H207" s="1">
        <v>60</v>
      </c>
      <c r="I207" s="1" t="str">
        <f t="shared" si="3"/>
        <v>&gt;60</v>
      </c>
      <c r="J207" s="3">
        <v>41647</v>
      </c>
      <c r="K207" s="4">
        <v>51877</v>
      </c>
      <c r="L207" s="5">
        <v>0.09</v>
      </c>
      <c r="M207" s="1" t="s">
        <v>24</v>
      </c>
      <c r="N207" s="1" t="s">
        <v>127</v>
      </c>
      <c r="O207" s="6" t="s">
        <v>26</v>
      </c>
    </row>
    <row r="208" spans="1:15" x14ac:dyDescent="0.35">
      <c r="A208" t="s">
        <v>544</v>
      </c>
      <c r="B208" s="1" t="s">
        <v>129</v>
      </c>
      <c r="C208" s="1" t="s">
        <v>123</v>
      </c>
      <c r="D208" s="1" t="s">
        <v>3</v>
      </c>
      <c r="E208" s="1" t="s">
        <v>73</v>
      </c>
      <c r="F208" s="1" t="s">
        <v>35</v>
      </c>
      <c r="G208" s="1" t="s">
        <v>23</v>
      </c>
      <c r="H208" s="1">
        <v>57</v>
      </c>
      <c r="I208" s="1" t="str">
        <f t="shared" si="3"/>
        <v>46-60</v>
      </c>
      <c r="J208" s="3">
        <v>41649</v>
      </c>
      <c r="K208" s="4">
        <v>74854</v>
      </c>
      <c r="L208" s="5">
        <v>7.0000000000000007E-2</v>
      </c>
      <c r="M208" s="1" t="s">
        <v>46</v>
      </c>
      <c r="N208" s="1" t="s">
        <v>131</v>
      </c>
      <c r="O208" s="6" t="s">
        <v>26</v>
      </c>
    </row>
    <row r="209" spans="1:15" x14ac:dyDescent="0.35">
      <c r="A209" t="s">
        <v>545</v>
      </c>
      <c r="B209" s="1" t="s">
        <v>133</v>
      </c>
      <c r="C209" s="1" t="s">
        <v>29</v>
      </c>
      <c r="D209" s="1" t="s">
        <v>56</v>
      </c>
      <c r="E209" s="1" t="s">
        <v>41</v>
      </c>
      <c r="F209" s="1" t="s">
        <v>22</v>
      </c>
      <c r="G209" s="1" t="s">
        <v>23</v>
      </c>
      <c r="H209" s="1">
        <v>42</v>
      </c>
      <c r="I209" s="1" t="str">
        <f t="shared" si="3"/>
        <v>31-45</v>
      </c>
      <c r="J209" s="3">
        <v>41655</v>
      </c>
      <c r="K209" s="4">
        <v>152214</v>
      </c>
      <c r="L209" s="5">
        <v>0.09</v>
      </c>
      <c r="M209" s="1" t="s">
        <v>24</v>
      </c>
      <c r="N209" s="1" t="s">
        <v>134</v>
      </c>
      <c r="O209" s="6" t="s">
        <v>26</v>
      </c>
    </row>
    <row r="210" spans="1:15" x14ac:dyDescent="0.35">
      <c r="A210" t="s">
        <v>546</v>
      </c>
      <c r="B210" s="1" t="s">
        <v>136</v>
      </c>
      <c r="C210" s="1" t="s">
        <v>45</v>
      </c>
      <c r="D210" s="1" t="s">
        <v>187</v>
      </c>
      <c r="E210" s="1" t="s">
        <v>41</v>
      </c>
      <c r="F210" s="1" t="s">
        <v>35</v>
      </c>
      <c r="G210" s="1" t="s">
        <v>23</v>
      </c>
      <c r="H210" s="1">
        <v>43</v>
      </c>
      <c r="I210" s="1" t="str">
        <f t="shared" si="3"/>
        <v>31-45</v>
      </c>
      <c r="J210" s="3">
        <v>41662</v>
      </c>
      <c r="K210" s="4">
        <v>92940</v>
      </c>
      <c r="L210" s="5">
        <v>0.13</v>
      </c>
      <c r="M210" s="1" t="s">
        <v>24</v>
      </c>
      <c r="N210" s="1" t="s">
        <v>138</v>
      </c>
      <c r="O210" s="6" t="s">
        <v>26</v>
      </c>
    </row>
    <row r="211" spans="1:15" x14ac:dyDescent="0.35">
      <c r="A211" t="s">
        <v>547</v>
      </c>
      <c r="B211" s="1" t="s">
        <v>140</v>
      </c>
      <c r="C211" s="1" t="s">
        <v>144</v>
      </c>
      <c r="D211" s="1" t="s">
        <v>187</v>
      </c>
      <c r="E211" s="1" t="s">
        <v>21</v>
      </c>
      <c r="F211" s="1" t="s">
        <v>22</v>
      </c>
      <c r="G211" s="1" t="s">
        <v>23</v>
      </c>
      <c r="H211" s="1">
        <v>43</v>
      </c>
      <c r="I211" s="1" t="str">
        <f t="shared" si="3"/>
        <v>31-45</v>
      </c>
      <c r="J211" s="3">
        <v>41680</v>
      </c>
      <c r="K211" s="4">
        <v>58875</v>
      </c>
      <c r="L211" s="5">
        <v>0.11</v>
      </c>
      <c r="M211" s="1" t="s">
        <v>24</v>
      </c>
      <c r="N211" s="1" t="s">
        <v>141</v>
      </c>
      <c r="O211" s="6" t="s">
        <v>26</v>
      </c>
    </row>
    <row r="212" spans="1:15" x14ac:dyDescent="0.35">
      <c r="A212" t="s">
        <v>548</v>
      </c>
      <c r="B212" s="1" t="s">
        <v>143</v>
      </c>
      <c r="C212" s="1" t="s">
        <v>102</v>
      </c>
      <c r="D212" s="1" t="s">
        <v>61</v>
      </c>
      <c r="E212" s="1" t="s">
        <v>73</v>
      </c>
      <c r="F212" s="1" t="s">
        <v>35</v>
      </c>
      <c r="G212" s="1" t="s">
        <v>23</v>
      </c>
      <c r="H212" s="1">
        <v>35</v>
      </c>
      <c r="I212" s="1" t="str">
        <f t="shared" si="3"/>
        <v>31-45</v>
      </c>
      <c r="J212" s="3">
        <v>41690</v>
      </c>
      <c r="K212" s="4">
        <v>155905</v>
      </c>
      <c r="L212" s="5">
        <v>0.1</v>
      </c>
      <c r="M212" s="1" t="s">
        <v>36</v>
      </c>
      <c r="N212" s="1" t="s">
        <v>145</v>
      </c>
      <c r="O212" s="6" t="s">
        <v>26</v>
      </c>
    </row>
    <row r="213" spans="1:15" x14ac:dyDescent="0.35">
      <c r="A213" t="s">
        <v>549</v>
      </c>
      <c r="B213" s="1" t="s">
        <v>147</v>
      </c>
      <c r="C213" s="1" t="s">
        <v>110</v>
      </c>
      <c r="D213" s="1" t="s">
        <v>1</v>
      </c>
      <c r="E213" s="1" t="s">
        <v>41</v>
      </c>
      <c r="F213" s="1" t="s">
        <v>35</v>
      </c>
      <c r="G213" s="1" t="s">
        <v>23</v>
      </c>
      <c r="H213" s="1">
        <v>36</v>
      </c>
      <c r="I213" s="1" t="str">
        <f t="shared" si="3"/>
        <v>31-45</v>
      </c>
      <c r="J213" s="3">
        <v>41692</v>
      </c>
      <c r="K213" s="4">
        <v>218530</v>
      </c>
      <c r="L213" s="5">
        <v>0.1</v>
      </c>
      <c r="M213" s="1" t="s">
        <v>24</v>
      </c>
      <c r="N213" s="1" t="s">
        <v>148</v>
      </c>
      <c r="O213" s="6" t="s">
        <v>26</v>
      </c>
    </row>
    <row r="214" spans="1:15" x14ac:dyDescent="0.35">
      <c r="A214" t="s">
        <v>550</v>
      </c>
      <c r="B214" s="1" t="s">
        <v>150</v>
      </c>
      <c r="C214" s="1" t="s">
        <v>110</v>
      </c>
      <c r="D214" s="1" t="s">
        <v>1</v>
      </c>
      <c r="E214" s="1" t="s">
        <v>73</v>
      </c>
      <c r="F214" s="1" t="s">
        <v>22</v>
      </c>
      <c r="G214" s="1" t="s">
        <v>23</v>
      </c>
      <c r="H214" s="1">
        <v>44</v>
      </c>
      <c r="I214" s="1" t="str">
        <f t="shared" si="3"/>
        <v>31-45</v>
      </c>
      <c r="J214" s="3">
        <v>41700</v>
      </c>
      <c r="K214" s="4">
        <v>207172</v>
      </c>
      <c r="L214" s="5">
        <v>0.08</v>
      </c>
      <c r="M214" s="1" t="s">
        <v>24</v>
      </c>
      <c r="N214" s="1" t="s">
        <v>117</v>
      </c>
      <c r="O214" s="6" t="s">
        <v>26</v>
      </c>
    </row>
    <row r="215" spans="1:15" x14ac:dyDescent="0.35">
      <c r="A215" t="s">
        <v>551</v>
      </c>
      <c r="B215" s="1" t="s">
        <v>152</v>
      </c>
      <c r="C215" s="1" t="s">
        <v>110</v>
      </c>
      <c r="D215" s="1" t="s">
        <v>56</v>
      </c>
      <c r="E215" s="1" t="s">
        <v>21</v>
      </c>
      <c r="F215" s="1" t="s">
        <v>22</v>
      </c>
      <c r="G215" s="1" t="s">
        <v>23</v>
      </c>
      <c r="H215" s="1">
        <v>48</v>
      </c>
      <c r="I215" s="1" t="str">
        <f t="shared" si="3"/>
        <v>46-60</v>
      </c>
      <c r="J215" s="3">
        <v>41706</v>
      </c>
      <c r="K215" s="4">
        <v>197367</v>
      </c>
      <c r="L215" s="5">
        <v>0.09</v>
      </c>
      <c r="M215" s="1" t="s">
        <v>46</v>
      </c>
      <c r="N215" s="1" t="s">
        <v>153</v>
      </c>
      <c r="O215" s="6" t="s">
        <v>26</v>
      </c>
    </row>
    <row r="216" spans="1:15" x14ac:dyDescent="0.35">
      <c r="A216" t="s">
        <v>552</v>
      </c>
      <c r="B216" s="1" t="s">
        <v>155</v>
      </c>
      <c r="C216" s="1" t="s">
        <v>144</v>
      </c>
      <c r="D216" s="1" t="s">
        <v>80</v>
      </c>
      <c r="E216" s="1" t="s">
        <v>21</v>
      </c>
      <c r="F216" s="1" t="s">
        <v>22</v>
      </c>
      <c r="G216" s="1" t="s">
        <v>23</v>
      </c>
      <c r="H216" s="1">
        <v>55</v>
      </c>
      <c r="I216" s="1" t="str">
        <f t="shared" si="3"/>
        <v>46-60</v>
      </c>
      <c r="J216" s="3">
        <v>41714</v>
      </c>
      <c r="K216" s="4">
        <v>74552</v>
      </c>
      <c r="L216" s="5">
        <v>0.14000000000000001</v>
      </c>
      <c r="M216" s="1" t="s">
        <v>24</v>
      </c>
      <c r="N216" s="1" t="s">
        <v>156</v>
      </c>
      <c r="O216" s="6" t="s">
        <v>26</v>
      </c>
    </row>
    <row r="217" spans="1:15" x14ac:dyDescent="0.35">
      <c r="A217" t="s">
        <v>553</v>
      </c>
      <c r="B217" s="1" t="s">
        <v>158</v>
      </c>
      <c r="C217" s="1" t="s">
        <v>110</v>
      </c>
      <c r="D217" s="1" t="s">
        <v>187</v>
      </c>
      <c r="E217" s="1" t="s">
        <v>30</v>
      </c>
      <c r="F217" s="1" t="s">
        <v>35</v>
      </c>
      <c r="G217" s="1" t="s">
        <v>23</v>
      </c>
      <c r="H217" s="1">
        <v>56</v>
      </c>
      <c r="I217" s="1" t="str">
        <f t="shared" si="3"/>
        <v>46-60</v>
      </c>
      <c r="J217" s="3">
        <v>41714</v>
      </c>
      <c r="K217" s="4">
        <v>190815</v>
      </c>
      <c r="L217" s="5">
        <v>7.0000000000000007E-2</v>
      </c>
      <c r="M217" s="1" t="s">
        <v>36</v>
      </c>
      <c r="N217" s="1" t="s">
        <v>159</v>
      </c>
      <c r="O217" s="6" t="s">
        <v>26</v>
      </c>
    </row>
    <row r="218" spans="1:15" x14ac:dyDescent="0.35">
      <c r="A218" t="s">
        <v>554</v>
      </c>
      <c r="B218" s="1" t="s">
        <v>161</v>
      </c>
      <c r="C218" s="1" t="s">
        <v>335</v>
      </c>
      <c r="D218" s="1" t="s">
        <v>3</v>
      </c>
      <c r="E218" s="1" t="s">
        <v>73</v>
      </c>
      <c r="F218" s="1" t="s">
        <v>35</v>
      </c>
      <c r="G218" s="1" t="s">
        <v>23</v>
      </c>
      <c r="H218" s="1">
        <v>48</v>
      </c>
      <c r="I218" s="1" t="str">
        <f t="shared" si="3"/>
        <v>46-60</v>
      </c>
      <c r="J218" s="3">
        <v>41749</v>
      </c>
      <c r="K218" s="4">
        <v>91679</v>
      </c>
      <c r="L218" s="5">
        <v>0.16</v>
      </c>
      <c r="M218" s="1" t="s">
        <v>24</v>
      </c>
      <c r="N218" s="1" t="s">
        <v>163</v>
      </c>
      <c r="O218" s="6" t="s">
        <v>26</v>
      </c>
    </row>
    <row r="219" spans="1:15" x14ac:dyDescent="0.35">
      <c r="A219" t="s">
        <v>555</v>
      </c>
      <c r="B219" s="1" t="s">
        <v>165</v>
      </c>
      <c r="C219" s="1" t="s">
        <v>106</v>
      </c>
      <c r="D219" s="1" t="s">
        <v>56</v>
      </c>
      <c r="E219" s="1" t="s">
        <v>73</v>
      </c>
      <c r="F219" s="1" t="s">
        <v>22</v>
      </c>
      <c r="G219" s="1" t="s">
        <v>23</v>
      </c>
      <c r="H219" s="1">
        <v>58</v>
      </c>
      <c r="I219" s="1" t="str">
        <f t="shared" si="3"/>
        <v>46-60</v>
      </c>
      <c r="J219" s="3">
        <v>41810</v>
      </c>
      <c r="K219" s="4">
        <v>41728</v>
      </c>
      <c r="L219" s="5">
        <v>0.12</v>
      </c>
      <c r="M219" s="1" t="s">
        <v>24</v>
      </c>
      <c r="N219" s="1" t="s">
        <v>166</v>
      </c>
      <c r="O219" s="6" t="s">
        <v>26</v>
      </c>
    </row>
    <row r="220" spans="1:15" x14ac:dyDescent="0.35">
      <c r="A220" t="s">
        <v>556</v>
      </c>
      <c r="B220" s="1" t="s">
        <v>168</v>
      </c>
      <c r="C220" s="1" t="s">
        <v>34</v>
      </c>
      <c r="D220" s="1" t="s">
        <v>3</v>
      </c>
      <c r="E220" s="1" t="s">
        <v>73</v>
      </c>
      <c r="F220" s="1" t="s">
        <v>22</v>
      </c>
      <c r="G220" s="1" t="s">
        <v>23</v>
      </c>
      <c r="H220" s="1">
        <v>42</v>
      </c>
      <c r="I220" s="1" t="str">
        <f t="shared" si="3"/>
        <v>31-45</v>
      </c>
      <c r="J220" s="3">
        <v>41813</v>
      </c>
      <c r="K220" s="4">
        <v>64677</v>
      </c>
      <c r="L220" s="5">
        <v>0.11</v>
      </c>
      <c r="M220" s="1" t="s">
        <v>36</v>
      </c>
      <c r="N220" s="1" t="s">
        <v>170</v>
      </c>
      <c r="O220" s="6" t="s">
        <v>26</v>
      </c>
    </row>
    <row r="221" spans="1:15" x14ac:dyDescent="0.35">
      <c r="A221" t="s">
        <v>557</v>
      </c>
      <c r="B221" s="1" t="s">
        <v>172</v>
      </c>
      <c r="C221" s="1" t="s">
        <v>29</v>
      </c>
      <c r="D221" s="1" t="s">
        <v>61</v>
      </c>
      <c r="E221" s="1" t="s">
        <v>30</v>
      </c>
      <c r="F221" s="1" t="s">
        <v>22</v>
      </c>
      <c r="G221" s="1" t="s">
        <v>23</v>
      </c>
      <c r="H221" s="1">
        <v>49</v>
      </c>
      <c r="I221" s="1" t="str">
        <f t="shared" si="3"/>
        <v>46-60</v>
      </c>
      <c r="J221" s="3">
        <v>41816</v>
      </c>
      <c r="K221" s="4">
        <v>153961</v>
      </c>
      <c r="L221" s="5">
        <v>0.14000000000000001</v>
      </c>
      <c r="M221" s="1" t="s">
        <v>24</v>
      </c>
      <c r="N221" s="1" t="s">
        <v>173</v>
      </c>
      <c r="O221" s="6" t="s">
        <v>26</v>
      </c>
    </row>
    <row r="222" spans="1:15" x14ac:dyDescent="0.35">
      <c r="A222" t="s">
        <v>558</v>
      </c>
      <c r="B222" s="1" t="s">
        <v>175</v>
      </c>
      <c r="C222" s="1" t="s">
        <v>183</v>
      </c>
      <c r="D222" s="1" t="s">
        <v>3</v>
      </c>
      <c r="E222" s="1" t="s">
        <v>41</v>
      </c>
      <c r="F222" s="1" t="s">
        <v>35</v>
      </c>
      <c r="G222" s="1" t="s">
        <v>23</v>
      </c>
      <c r="H222" s="1">
        <v>33</v>
      </c>
      <c r="I222" s="1" t="str">
        <f t="shared" si="3"/>
        <v>31-45</v>
      </c>
      <c r="J222" s="3">
        <v>41819</v>
      </c>
      <c r="K222" s="4">
        <v>96366</v>
      </c>
      <c r="L222" s="5">
        <v>0.14000000000000001</v>
      </c>
      <c r="M222" s="1" t="s">
        <v>46</v>
      </c>
      <c r="N222" s="1" t="s">
        <v>176</v>
      </c>
      <c r="O222" s="6" t="s">
        <v>26</v>
      </c>
    </row>
    <row r="223" spans="1:15" x14ac:dyDescent="0.35">
      <c r="A223" t="s">
        <v>559</v>
      </c>
      <c r="B223" s="1" t="s">
        <v>178</v>
      </c>
      <c r="C223" s="1" t="s">
        <v>2</v>
      </c>
      <c r="D223" s="1" t="s">
        <v>61</v>
      </c>
      <c r="E223" s="1" t="s">
        <v>30</v>
      </c>
      <c r="F223" s="1" t="s">
        <v>35</v>
      </c>
      <c r="G223" s="1" t="s">
        <v>23</v>
      </c>
      <c r="H223" s="1">
        <v>39</v>
      </c>
      <c r="I223" s="1" t="str">
        <f t="shared" si="3"/>
        <v>31-45</v>
      </c>
      <c r="J223" s="3">
        <v>41849</v>
      </c>
      <c r="K223" s="4">
        <v>40897</v>
      </c>
      <c r="L223" s="5">
        <v>0.13</v>
      </c>
      <c r="M223" s="1" t="s">
        <v>24</v>
      </c>
      <c r="N223" s="1" t="s">
        <v>180</v>
      </c>
      <c r="O223" s="6" t="s">
        <v>26</v>
      </c>
    </row>
    <row r="224" spans="1:15" x14ac:dyDescent="0.35">
      <c r="A224" t="s">
        <v>560</v>
      </c>
      <c r="B224" s="1" t="s">
        <v>182</v>
      </c>
      <c r="C224" s="1" t="s">
        <v>60</v>
      </c>
      <c r="D224" s="1" t="s">
        <v>1</v>
      </c>
      <c r="E224" s="1" t="s">
        <v>73</v>
      </c>
      <c r="F224" s="1" t="s">
        <v>22</v>
      </c>
      <c r="G224" s="1" t="s">
        <v>23</v>
      </c>
      <c r="H224" s="1">
        <v>52</v>
      </c>
      <c r="I224" s="1" t="str">
        <f t="shared" si="3"/>
        <v>46-60</v>
      </c>
      <c r="J224" s="3">
        <v>41858</v>
      </c>
      <c r="K224" s="4">
        <v>117062</v>
      </c>
      <c r="L224" s="5">
        <v>0.12</v>
      </c>
      <c r="M224" s="1" t="s">
        <v>46</v>
      </c>
      <c r="N224" s="1" t="s">
        <v>184</v>
      </c>
      <c r="O224" s="6" t="s">
        <v>26</v>
      </c>
    </row>
    <row r="225" spans="1:15" x14ac:dyDescent="0.35">
      <c r="A225" t="s">
        <v>561</v>
      </c>
      <c r="B225" s="1" t="s">
        <v>186</v>
      </c>
      <c r="C225" s="1" t="s">
        <v>29</v>
      </c>
      <c r="D225" s="1" t="s">
        <v>20</v>
      </c>
      <c r="E225" s="1" t="s">
        <v>73</v>
      </c>
      <c r="F225" s="1" t="s">
        <v>22</v>
      </c>
      <c r="G225" s="1" t="s">
        <v>23</v>
      </c>
      <c r="H225" s="1">
        <v>45</v>
      </c>
      <c r="I225" s="1" t="str">
        <f t="shared" si="3"/>
        <v>31-45</v>
      </c>
      <c r="J225" s="3">
        <v>41879</v>
      </c>
      <c r="K225" s="4">
        <v>183161</v>
      </c>
      <c r="L225" s="5">
        <v>7.0000000000000007E-2</v>
      </c>
      <c r="M225" s="1" t="s">
        <v>24</v>
      </c>
      <c r="N225" s="1" t="s">
        <v>188</v>
      </c>
      <c r="O225" s="6" t="s">
        <v>26</v>
      </c>
    </row>
    <row r="226" spans="1:15" x14ac:dyDescent="0.35">
      <c r="A226" t="s">
        <v>562</v>
      </c>
      <c r="B226" s="1" t="s">
        <v>190</v>
      </c>
      <c r="C226" s="1" t="s">
        <v>45</v>
      </c>
      <c r="D226" s="1" t="s">
        <v>61</v>
      </c>
      <c r="E226" s="1" t="s">
        <v>30</v>
      </c>
      <c r="F226" s="1" t="s">
        <v>22</v>
      </c>
      <c r="G226" s="1" t="s">
        <v>23</v>
      </c>
      <c r="H226" s="1">
        <v>40</v>
      </c>
      <c r="I226" s="1" t="str">
        <f t="shared" si="3"/>
        <v>31-45</v>
      </c>
      <c r="J226" s="3">
        <v>41904</v>
      </c>
      <c r="K226" s="4">
        <v>73779</v>
      </c>
      <c r="L226" s="5">
        <v>0.16</v>
      </c>
      <c r="M226" s="1" t="s">
        <v>46</v>
      </c>
      <c r="N226" s="1" t="s">
        <v>191</v>
      </c>
      <c r="O226" s="6">
        <v>43594</v>
      </c>
    </row>
    <row r="227" spans="1:15" x14ac:dyDescent="0.35">
      <c r="A227" t="s">
        <v>563</v>
      </c>
      <c r="B227" s="1" t="s">
        <v>193</v>
      </c>
      <c r="C227" s="1" t="s">
        <v>110</v>
      </c>
      <c r="D227" s="1" t="s">
        <v>61</v>
      </c>
      <c r="E227" s="1" t="s">
        <v>30</v>
      </c>
      <c r="F227" s="1" t="s">
        <v>22</v>
      </c>
      <c r="G227" s="1" t="s">
        <v>23</v>
      </c>
      <c r="H227" s="1">
        <v>41</v>
      </c>
      <c r="I227" s="1" t="str">
        <f t="shared" si="3"/>
        <v>31-45</v>
      </c>
      <c r="J227" s="3">
        <v>41916</v>
      </c>
      <c r="K227" s="4">
        <v>257194</v>
      </c>
      <c r="L227" s="5">
        <v>0.1</v>
      </c>
      <c r="M227" s="1" t="s">
        <v>24</v>
      </c>
      <c r="N227" s="1" t="s">
        <v>194</v>
      </c>
      <c r="O227" s="6" t="s">
        <v>26</v>
      </c>
    </row>
    <row r="228" spans="1:15" x14ac:dyDescent="0.35">
      <c r="A228" t="s">
        <v>564</v>
      </c>
      <c r="B228" s="1" t="s">
        <v>196</v>
      </c>
      <c r="C228" s="1" t="s">
        <v>329</v>
      </c>
      <c r="D228" s="1" t="s">
        <v>3</v>
      </c>
      <c r="E228" s="1" t="s">
        <v>41</v>
      </c>
      <c r="F228" s="1" t="s">
        <v>35</v>
      </c>
      <c r="G228" s="1" t="s">
        <v>23</v>
      </c>
      <c r="H228" s="1">
        <v>36</v>
      </c>
      <c r="I228" s="1" t="str">
        <f t="shared" si="3"/>
        <v>31-45</v>
      </c>
      <c r="J228" s="3">
        <v>41964</v>
      </c>
      <c r="K228" s="4">
        <v>97500</v>
      </c>
      <c r="L228" s="5">
        <v>0.16</v>
      </c>
      <c r="M228" s="1" t="s">
        <v>24</v>
      </c>
      <c r="N228" s="1" t="s">
        <v>197</v>
      </c>
      <c r="O228" s="6" t="s">
        <v>26</v>
      </c>
    </row>
    <row r="229" spans="1:15" x14ac:dyDescent="0.35">
      <c r="A229" t="s">
        <v>565</v>
      </c>
      <c r="B229" s="1" t="s">
        <v>199</v>
      </c>
      <c r="C229" s="1" t="s">
        <v>335</v>
      </c>
      <c r="D229" s="1" t="s">
        <v>3</v>
      </c>
      <c r="E229" s="1" t="s">
        <v>73</v>
      </c>
      <c r="F229" s="1" t="s">
        <v>35</v>
      </c>
      <c r="G229" s="1" t="s">
        <v>23</v>
      </c>
      <c r="H229" s="1">
        <v>36</v>
      </c>
      <c r="I229" s="1" t="str">
        <f t="shared" si="3"/>
        <v>31-45</v>
      </c>
      <c r="J229" s="3">
        <v>41972</v>
      </c>
      <c r="K229" s="4">
        <v>88730</v>
      </c>
      <c r="L229" s="5">
        <v>0.09</v>
      </c>
      <c r="M229" s="1" t="s">
        <v>46</v>
      </c>
      <c r="N229" s="1" t="s">
        <v>200</v>
      </c>
      <c r="O229" s="6" t="s">
        <v>26</v>
      </c>
    </row>
    <row r="230" spans="1:15" x14ac:dyDescent="0.35">
      <c r="A230" t="s">
        <v>566</v>
      </c>
      <c r="B230" s="1" t="s">
        <v>202</v>
      </c>
      <c r="C230" s="1" t="s">
        <v>19</v>
      </c>
      <c r="D230" s="1" t="s">
        <v>20</v>
      </c>
      <c r="E230" s="1" t="s">
        <v>30</v>
      </c>
      <c r="F230" s="1" t="s">
        <v>35</v>
      </c>
      <c r="G230" s="1" t="s">
        <v>23</v>
      </c>
      <c r="H230" s="1">
        <v>32</v>
      </c>
      <c r="I230" s="1" t="str">
        <f t="shared" si="3"/>
        <v>31-45</v>
      </c>
      <c r="J230" s="3">
        <v>41977</v>
      </c>
      <c r="K230" s="4">
        <v>99202</v>
      </c>
      <c r="L230" s="5">
        <v>7.0000000000000007E-2</v>
      </c>
      <c r="M230" s="1" t="s">
        <v>24</v>
      </c>
      <c r="N230" s="1" t="s">
        <v>203</v>
      </c>
      <c r="O230" s="6" t="s">
        <v>26</v>
      </c>
    </row>
    <row r="231" spans="1:15" x14ac:dyDescent="0.35">
      <c r="A231" t="s">
        <v>567</v>
      </c>
      <c r="B231" s="1" t="s">
        <v>205</v>
      </c>
      <c r="C231" s="1" t="s">
        <v>110</v>
      </c>
      <c r="D231" s="1" t="s">
        <v>56</v>
      </c>
      <c r="E231" s="1" t="s">
        <v>73</v>
      </c>
      <c r="F231" s="1" t="s">
        <v>22</v>
      </c>
      <c r="G231" s="1" t="s">
        <v>23</v>
      </c>
      <c r="H231" s="1">
        <v>31</v>
      </c>
      <c r="I231" s="1" t="str">
        <f t="shared" si="3"/>
        <v>31-45</v>
      </c>
      <c r="J231" s="3">
        <v>42018</v>
      </c>
      <c r="K231" s="4">
        <v>230025</v>
      </c>
      <c r="L231" s="5">
        <v>0.08</v>
      </c>
      <c r="M231" s="1" t="s">
        <v>24</v>
      </c>
      <c r="N231" s="1" t="s">
        <v>206</v>
      </c>
      <c r="O231" s="6" t="s">
        <v>26</v>
      </c>
    </row>
    <row r="232" spans="1:15" x14ac:dyDescent="0.35">
      <c r="A232" t="s">
        <v>568</v>
      </c>
      <c r="B232" s="1" t="s">
        <v>208</v>
      </c>
      <c r="C232" s="1" t="s">
        <v>60</v>
      </c>
      <c r="D232" s="1" t="s">
        <v>3</v>
      </c>
      <c r="E232" s="1" t="s">
        <v>41</v>
      </c>
      <c r="F232" s="1" t="s">
        <v>22</v>
      </c>
      <c r="G232" s="1" t="s">
        <v>23</v>
      </c>
      <c r="H232" s="1">
        <v>45</v>
      </c>
      <c r="I232" s="1" t="str">
        <f t="shared" si="3"/>
        <v>31-45</v>
      </c>
      <c r="J232" s="3">
        <v>42026</v>
      </c>
      <c r="K232" s="4">
        <v>101288</v>
      </c>
      <c r="L232" s="5">
        <v>0.17</v>
      </c>
      <c r="M232" s="1" t="s">
        <v>46</v>
      </c>
      <c r="N232" s="1" t="s">
        <v>209</v>
      </c>
      <c r="O232" s="6" t="s">
        <v>26</v>
      </c>
    </row>
    <row r="233" spans="1:15" x14ac:dyDescent="0.35">
      <c r="A233" t="s">
        <v>569</v>
      </c>
      <c r="B233" s="1" t="s">
        <v>211</v>
      </c>
      <c r="C233" s="1" t="s">
        <v>102</v>
      </c>
      <c r="D233" s="1" t="s">
        <v>61</v>
      </c>
      <c r="E233" s="1" t="s">
        <v>41</v>
      </c>
      <c r="F233" s="1" t="s">
        <v>22</v>
      </c>
      <c r="G233" s="1" t="s">
        <v>23</v>
      </c>
      <c r="H233" s="1">
        <v>63</v>
      </c>
      <c r="I233" s="1" t="str">
        <f t="shared" si="3"/>
        <v>&gt;60</v>
      </c>
      <c r="J233" s="3">
        <v>42064</v>
      </c>
      <c r="K233" s="4">
        <v>148321</v>
      </c>
      <c r="L233" s="5">
        <v>0.16</v>
      </c>
      <c r="M233" s="1" t="s">
        <v>24</v>
      </c>
      <c r="N233" s="1" t="s">
        <v>212</v>
      </c>
      <c r="O233" s="6" t="s">
        <v>26</v>
      </c>
    </row>
    <row r="234" spans="1:15" x14ac:dyDescent="0.35">
      <c r="A234" t="s">
        <v>570</v>
      </c>
      <c r="B234" s="1" t="s">
        <v>214</v>
      </c>
      <c r="C234" s="1" t="s">
        <v>102</v>
      </c>
      <c r="D234" s="1" t="s">
        <v>1</v>
      </c>
      <c r="E234" s="1" t="s">
        <v>41</v>
      </c>
      <c r="F234" s="1" t="s">
        <v>35</v>
      </c>
      <c r="G234" s="1" t="s">
        <v>23</v>
      </c>
      <c r="H234" s="1">
        <v>34</v>
      </c>
      <c r="I234" s="1" t="str">
        <f t="shared" si="3"/>
        <v>31-45</v>
      </c>
      <c r="J234" s="3">
        <v>42116</v>
      </c>
      <c r="K234" s="4">
        <v>154941</v>
      </c>
      <c r="L234" s="5">
        <v>0.15</v>
      </c>
      <c r="M234" s="1" t="s">
        <v>24</v>
      </c>
      <c r="N234" s="1" t="s">
        <v>215</v>
      </c>
      <c r="O234" s="6" t="s">
        <v>26</v>
      </c>
    </row>
    <row r="235" spans="1:15" x14ac:dyDescent="0.35">
      <c r="A235" t="s">
        <v>571</v>
      </c>
      <c r="B235" s="1" t="s">
        <v>217</v>
      </c>
      <c r="C235" s="1" t="s">
        <v>234</v>
      </c>
      <c r="D235" s="1" t="s">
        <v>20</v>
      </c>
      <c r="E235" s="1" t="s">
        <v>21</v>
      </c>
      <c r="F235" s="1" t="s">
        <v>35</v>
      </c>
      <c r="G235" s="1" t="s">
        <v>23</v>
      </c>
      <c r="H235" s="1">
        <v>45</v>
      </c>
      <c r="I235" s="1" t="str">
        <f t="shared" si="3"/>
        <v>31-45</v>
      </c>
      <c r="J235" s="3">
        <v>42117</v>
      </c>
      <c r="K235" s="4">
        <v>60017</v>
      </c>
      <c r="L235" s="5">
        <v>0.11</v>
      </c>
      <c r="M235" s="1" t="s">
        <v>218</v>
      </c>
      <c r="N235" s="1" t="s">
        <v>219</v>
      </c>
      <c r="O235" s="6" t="s">
        <v>26</v>
      </c>
    </row>
    <row r="236" spans="1:15" x14ac:dyDescent="0.35">
      <c r="A236" t="s">
        <v>572</v>
      </c>
      <c r="B236" s="1" t="s">
        <v>221</v>
      </c>
      <c r="C236" s="1" t="s">
        <v>110</v>
      </c>
      <c r="D236" s="1" t="s">
        <v>3</v>
      </c>
      <c r="E236" s="1" t="s">
        <v>21</v>
      </c>
      <c r="F236" s="1" t="s">
        <v>22</v>
      </c>
      <c r="G236" s="1" t="s">
        <v>23</v>
      </c>
      <c r="H236" s="1">
        <v>35</v>
      </c>
      <c r="I236" s="1" t="str">
        <f t="shared" si="3"/>
        <v>31-45</v>
      </c>
      <c r="J236" s="3">
        <v>42166</v>
      </c>
      <c r="K236" s="4">
        <v>234723</v>
      </c>
      <c r="L236" s="5">
        <v>0.12</v>
      </c>
      <c r="M236" s="1" t="s">
        <v>24</v>
      </c>
      <c r="N236" s="1" t="s">
        <v>222</v>
      </c>
      <c r="O236" s="6" t="s">
        <v>26</v>
      </c>
    </row>
    <row r="237" spans="1:15" x14ac:dyDescent="0.35">
      <c r="A237" t="s">
        <v>573</v>
      </c>
      <c r="B237" s="1" t="s">
        <v>224</v>
      </c>
      <c r="C237" s="1" t="s">
        <v>102</v>
      </c>
      <c r="D237" s="1" t="s">
        <v>1</v>
      </c>
      <c r="E237" s="1" t="s">
        <v>73</v>
      </c>
      <c r="F237" s="1" t="s">
        <v>35</v>
      </c>
      <c r="G237" s="1" t="s">
        <v>23</v>
      </c>
      <c r="H237" s="1">
        <v>30</v>
      </c>
      <c r="I237" s="1" t="str">
        <f t="shared" si="3"/>
        <v>18-30</v>
      </c>
      <c r="J237" s="3">
        <v>42168</v>
      </c>
      <c r="K237" s="4">
        <v>127972</v>
      </c>
      <c r="L237" s="5">
        <v>0.17</v>
      </c>
      <c r="M237" s="1" t="s">
        <v>46</v>
      </c>
      <c r="N237" s="1" t="s">
        <v>225</v>
      </c>
      <c r="O237" s="6" t="s">
        <v>26</v>
      </c>
    </row>
    <row r="238" spans="1:15" x14ac:dyDescent="0.35">
      <c r="A238" t="s">
        <v>574</v>
      </c>
      <c r="B238" s="1" t="s">
        <v>227</v>
      </c>
      <c r="C238" s="1" t="s">
        <v>29</v>
      </c>
      <c r="D238" s="1" t="s">
        <v>1</v>
      </c>
      <c r="E238" s="1" t="s">
        <v>30</v>
      </c>
      <c r="F238" s="1" t="s">
        <v>22</v>
      </c>
      <c r="G238" s="1" t="s">
        <v>23</v>
      </c>
      <c r="H238" s="1">
        <v>31</v>
      </c>
      <c r="I238" s="1" t="str">
        <f t="shared" si="3"/>
        <v>31-45</v>
      </c>
      <c r="J238" s="3">
        <v>42184</v>
      </c>
      <c r="K238" s="4">
        <v>191026</v>
      </c>
      <c r="L238" s="5">
        <v>0.13</v>
      </c>
      <c r="M238" s="1" t="s">
        <v>24</v>
      </c>
      <c r="N238" s="1" t="s">
        <v>228</v>
      </c>
      <c r="O238" s="6" t="s">
        <v>26</v>
      </c>
    </row>
    <row r="239" spans="1:15" x14ac:dyDescent="0.35">
      <c r="A239" t="s">
        <v>575</v>
      </c>
      <c r="B239" s="1" t="s">
        <v>230</v>
      </c>
      <c r="C239" s="1" t="s">
        <v>162</v>
      </c>
      <c r="D239" s="1" t="s">
        <v>1</v>
      </c>
      <c r="E239" s="1" t="s">
        <v>73</v>
      </c>
      <c r="F239" s="1" t="s">
        <v>35</v>
      </c>
      <c r="G239" s="1" t="s">
        <v>23</v>
      </c>
      <c r="H239" s="1">
        <v>47</v>
      </c>
      <c r="I239" s="1" t="str">
        <f t="shared" si="3"/>
        <v>46-60</v>
      </c>
      <c r="J239" s="3">
        <v>42195</v>
      </c>
      <c r="K239" s="4">
        <v>63880</v>
      </c>
      <c r="L239" s="5">
        <v>0.09</v>
      </c>
      <c r="M239" s="1" t="s">
        <v>24</v>
      </c>
      <c r="N239" s="1" t="s">
        <v>231</v>
      </c>
      <c r="O239" s="6" t="s">
        <v>26</v>
      </c>
    </row>
    <row r="240" spans="1:15" x14ac:dyDescent="0.35">
      <c r="A240" t="s">
        <v>576</v>
      </c>
      <c r="B240" s="1" t="s">
        <v>233</v>
      </c>
      <c r="C240" s="1" t="s">
        <v>110</v>
      </c>
      <c r="D240" s="1" t="s">
        <v>3</v>
      </c>
      <c r="E240" s="1" t="s">
        <v>21</v>
      </c>
      <c r="F240" s="1" t="s">
        <v>22</v>
      </c>
      <c r="G240" s="1" t="s">
        <v>23</v>
      </c>
      <c r="H240" s="1">
        <v>31</v>
      </c>
      <c r="I240" s="1" t="str">
        <f t="shared" si="3"/>
        <v>31-45</v>
      </c>
      <c r="J240" s="3">
        <v>42197</v>
      </c>
      <c r="K240" s="4">
        <v>215388</v>
      </c>
      <c r="L240" s="5">
        <v>0.15</v>
      </c>
      <c r="M240" s="1" t="s">
        <v>46</v>
      </c>
      <c r="N240" s="1" t="s">
        <v>235</v>
      </c>
      <c r="O240" s="6" t="s">
        <v>26</v>
      </c>
    </row>
    <row r="241" spans="1:15" x14ac:dyDescent="0.35">
      <c r="A241" t="s">
        <v>577</v>
      </c>
      <c r="B241" s="1" t="s">
        <v>237</v>
      </c>
      <c r="C241" s="1" t="s">
        <v>60</v>
      </c>
      <c r="D241" s="1" t="s">
        <v>56</v>
      </c>
      <c r="E241" s="1" t="s">
        <v>30</v>
      </c>
      <c r="F241" s="1" t="s">
        <v>22</v>
      </c>
      <c r="G241" s="1" t="s">
        <v>23</v>
      </c>
      <c r="H241" s="1">
        <v>48</v>
      </c>
      <c r="I241" s="1" t="str">
        <f t="shared" si="3"/>
        <v>46-60</v>
      </c>
      <c r="J241" s="3">
        <v>42201</v>
      </c>
      <c r="K241" s="4">
        <v>110565</v>
      </c>
      <c r="L241" s="5">
        <v>0.05</v>
      </c>
      <c r="M241" s="1" t="s">
        <v>24</v>
      </c>
      <c r="N241" s="1" t="s">
        <v>238</v>
      </c>
      <c r="O241" s="6" t="s">
        <v>26</v>
      </c>
    </row>
    <row r="242" spans="1:15" x14ac:dyDescent="0.35">
      <c r="A242" t="s">
        <v>578</v>
      </c>
      <c r="B242" s="1" t="s">
        <v>240</v>
      </c>
      <c r="C242" s="1" t="s">
        <v>60</v>
      </c>
      <c r="D242" s="1" t="s">
        <v>187</v>
      </c>
      <c r="E242" s="1" t="s">
        <v>73</v>
      </c>
      <c r="F242" s="1" t="s">
        <v>22</v>
      </c>
      <c r="G242" s="1" t="s">
        <v>23</v>
      </c>
      <c r="H242" s="1">
        <v>63</v>
      </c>
      <c r="I242" s="1" t="str">
        <f t="shared" si="3"/>
        <v>&gt;60</v>
      </c>
      <c r="J242" s="3">
        <v>42214</v>
      </c>
      <c r="K242" s="4">
        <v>103724</v>
      </c>
      <c r="L242" s="5">
        <v>0.17</v>
      </c>
      <c r="M242" s="1" t="s">
        <v>36</v>
      </c>
      <c r="N242" s="1" t="s">
        <v>241</v>
      </c>
      <c r="O242" s="6" t="s">
        <v>26</v>
      </c>
    </row>
    <row r="243" spans="1:15" x14ac:dyDescent="0.35">
      <c r="A243" t="s">
        <v>579</v>
      </c>
      <c r="B243" s="1" t="s">
        <v>243</v>
      </c>
      <c r="C243" s="1" t="s">
        <v>110</v>
      </c>
      <c r="D243" s="1" t="s">
        <v>56</v>
      </c>
      <c r="E243" s="1" t="s">
        <v>30</v>
      </c>
      <c r="F243" s="1" t="s">
        <v>22</v>
      </c>
      <c r="G243" s="1" t="s">
        <v>23</v>
      </c>
      <c r="H243" s="1">
        <v>31</v>
      </c>
      <c r="I243" s="1" t="str">
        <f t="shared" si="3"/>
        <v>31-45</v>
      </c>
      <c r="J243" s="3">
        <v>42250</v>
      </c>
      <c r="K243" s="4">
        <v>250953</v>
      </c>
      <c r="L243" s="5">
        <v>0.12</v>
      </c>
      <c r="M243" s="1" t="s">
        <v>24</v>
      </c>
      <c r="N243" s="1" t="s">
        <v>244</v>
      </c>
      <c r="O243" s="6" t="s">
        <v>26</v>
      </c>
    </row>
    <row r="244" spans="1:15" x14ac:dyDescent="0.35">
      <c r="A244" t="s">
        <v>580</v>
      </c>
      <c r="B244" s="1" t="s">
        <v>246</v>
      </c>
      <c r="C244" s="1" t="s">
        <v>110</v>
      </c>
      <c r="D244" s="1" t="s">
        <v>61</v>
      </c>
      <c r="E244" s="1" t="s">
        <v>30</v>
      </c>
      <c r="F244" s="1" t="s">
        <v>22</v>
      </c>
      <c r="G244" s="1" t="s">
        <v>23</v>
      </c>
      <c r="H244" s="1">
        <v>45</v>
      </c>
      <c r="I244" s="1" t="str">
        <f t="shared" si="3"/>
        <v>31-45</v>
      </c>
      <c r="J244" s="3">
        <v>42271</v>
      </c>
      <c r="K244" s="4">
        <v>202680</v>
      </c>
      <c r="L244" s="5">
        <v>0.17</v>
      </c>
      <c r="M244" s="1" t="s">
        <v>24</v>
      </c>
      <c r="N244" s="1" t="s">
        <v>247</v>
      </c>
      <c r="O244" s="6">
        <v>44790</v>
      </c>
    </row>
    <row r="245" spans="1:15" x14ac:dyDescent="0.35">
      <c r="A245" t="s">
        <v>581</v>
      </c>
      <c r="B245" s="1" t="s">
        <v>249</v>
      </c>
      <c r="C245" s="1" t="s">
        <v>29</v>
      </c>
      <c r="D245" s="1" t="s">
        <v>187</v>
      </c>
      <c r="E245" s="1" t="s">
        <v>21</v>
      </c>
      <c r="F245" s="1" t="s">
        <v>35</v>
      </c>
      <c r="G245" s="1" t="s">
        <v>23</v>
      </c>
      <c r="H245" s="1">
        <v>36</v>
      </c>
      <c r="I245" s="1" t="str">
        <f t="shared" si="3"/>
        <v>31-45</v>
      </c>
      <c r="J245" s="3">
        <v>42276</v>
      </c>
      <c r="K245" s="4">
        <v>178700</v>
      </c>
      <c r="L245" s="5">
        <v>0.15</v>
      </c>
      <c r="M245" s="1" t="s">
        <v>251</v>
      </c>
      <c r="N245" s="1" t="s">
        <v>252</v>
      </c>
      <c r="O245" s="6" t="s">
        <v>26</v>
      </c>
    </row>
    <row r="246" spans="1:15" x14ac:dyDescent="0.35">
      <c r="A246" t="s">
        <v>582</v>
      </c>
      <c r="B246" s="1" t="s">
        <v>254</v>
      </c>
      <c r="C246" s="1" t="s">
        <v>45</v>
      </c>
      <c r="D246" s="1" t="s">
        <v>80</v>
      </c>
      <c r="E246" s="1" t="s">
        <v>73</v>
      </c>
      <c r="F246" s="1" t="s">
        <v>35</v>
      </c>
      <c r="G246" s="1" t="s">
        <v>23</v>
      </c>
      <c r="H246" s="1">
        <v>33</v>
      </c>
      <c r="I246" s="1" t="str">
        <f t="shared" si="3"/>
        <v>31-45</v>
      </c>
      <c r="J246" s="3">
        <v>42285</v>
      </c>
      <c r="K246" s="4">
        <v>94876</v>
      </c>
      <c r="L246" s="5">
        <v>0.11</v>
      </c>
      <c r="M246" s="1" t="s">
        <v>24</v>
      </c>
      <c r="N246" s="1" t="s">
        <v>255</v>
      </c>
      <c r="O246" s="6" t="s">
        <v>26</v>
      </c>
    </row>
    <row r="247" spans="1:15" x14ac:dyDescent="0.35">
      <c r="A247" t="s">
        <v>583</v>
      </c>
      <c r="B247" s="1" t="s">
        <v>257</v>
      </c>
      <c r="C247" s="1" t="s">
        <v>2</v>
      </c>
      <c r="D247" s="1" t="s">
        <v>80</v>
      </c>
      <c r="E247" s="1" t="s">
        <v>30</v>
      </c>
      <c r="F247" s="1" t="s">
        <v>22</v>
      </c>
      <c r="G247" s="1" t="s">
        <v>23</v>
      </c>
      <c r="H247" s="1">
        <v>37</v>
      </c>
      <c r="I247" s="1" t="str">
        <f t="shared" si="3"/>
        <v>31-45</v>
      </c>
      <c r="J247" s="3">
        <v>42317</v>
      </c>
      <c r="K247" s="4">
        <v>45369</v>
      </c>
      <c r="L247" s="5">
        <v>0.13</v>
      </c>
      <c r="M247" s="1" t="s">
        <v>258</v>
      </c>
      <c r="N247" s="1" t="s">
        <v>259</v>
      </c>
      <c r="O247" s="6" t="s">
        <v>26</v>
      </c>
    </row>
    <row r="248" spans="1:15" x14ac:dyDescent="0.35">
      <c r="A248" t="s">
        <v>584</v>
      </c>
      <c r="B248" s="1" t="s">
        <v>261</v>
      </c>
      <c r="C248" s="1" t="s">
        <v>162</v>
      </c>
      <c r="D248" s="1" t="s">
        <v>1</v>
      </c>
      <c r="E248" s="1" t="s">
        <v>41</v>
      </c>
      <c r="F248" s="1" t="s">
        <v>35</v>
      </c>
      <c r="G248" s="1" t="s">
        <v>23</v>
      </c>
      <c r="H248" s="1">
        <v>37</v>
      </c>
      <c r="I248" s="1" t="str">
        <f t="shared" si="3"/>
        <v>31-45</v>
      </c>
      <c r="J248" s="3">
        <v>42318</v>
      </c>
      <c r="K248" s="4">
        <v>64204</v>
      </c>
      <c r="L248" s="5">
        <v>0.13</v>
      </c>
      <c r="M248" s="1" t="s">
        <v>218</v>
      </c>
      <c r="N248" s="1" t="s">
        <v>262</v>
      </c>
      <c r="O248" s="6">
        <v>44306</v>
      </c>
    </row>
    <row r="249" spans="1:15" x14ac:dyDescent="0.35">
      <c r="A249" t="s">
        <v>585</v>
      </c>
      <c r="B249" s="1" t="s">
        <v>264</v>
      </c>
      <c r="C249" s="1" t="s">
        <v>69</v>
      </c>
      <c r="D249" s="1" t="s">
        <v>20</v>
      </c>
      <c r="E249" s="1" t="s">
        <v>21</v>
      </c>
      <c r="F249" s="1" t="s">
        <v>35</v>
      </c>
      <c r="G249" s="1" t="s">
        <v>23</v>
      </c>
      <c r="H249" s="1">
        <v>30</v>
      </c>
      <c r="I249" s="1" t="str">
        <f t="shared" si="3"/>
        <v>18-30</v>
      </c>
      <c r="J249" s="3">
        <v>42322</v>
      </c>
      <c r="K249" s="4">
        <v>77442</v>
      </c>
      <c r="L249" s="5">
        <v>0.12</v>
      </c>
      <c r="M249" s="1" t="s">
        <v>24</v>
      </c>
      <c r="N249" s="1" t="s">
        <v>265</v>
      </c>
      <c r="O249" s="6" t="s">
        <v>26</v>
      </c>
    </row>
    <row r="250" spans="1:15" x14ac:dyDescent="0.35">
      <c r="A250" t="s">
        <v>586</v>
      </c>
      <c r="B250" s="1" t="s">
        <v>267</v>
      </c>
      <c r="C250" s="1" t="s">
        <v>45</v>
      </c>
      <c r="D250" s="1" t="s">
        <v>187</v>
      </c>
      <c r="E250" s="1" t="s">
        <v>41</v>
      </c>
      <c r="F250" s="1" t="s">
        <v>22</v>
      </c>
      <c r="G250" s="1" t="s">
        <v>23</v>
      </c>
      <c r="H250" s="1">
        <v>40</v>
      </c>
      <c r="I250" s="1" t="str">
        <f t="shared" si="3"/>
        <v>31-45</v>
      </c>
      <c r="J250" s="3">
        <v>42384</v>
      </c>
      <c r="K250" s="4">
        <v>89984</v>
      </c>
      <c r="L250" s="5">
        <v>7.0000000000000007E-2</v>
      </c>
      <c r="M250" s="1" t="s">
        <v>46</v>
      </c>
      <c r="N250" s="1" t="s">
        <v>268</v>
      </c>
      <c r="O250" s="6" t="s">
        <v>26</v>
      </c>
    </row>
    <row r="251" spans="1:15" x14ac:dyDescent="0.35">
      <c r="A251" t="s">
        <v>587</v>
      </c>
      <c r="B251" s="1" t="s">
        <v>270</v>
      </c>
      <c r="C251" s="1" t="s">
        <v>34</v>
      </c>
      <c r="D251" s="1" t="s">
        <v>3</v>
      </c>
      <c r="E251" s="1" t="s">
        <v>21</v>
      </c>
      <c r="F251" s="1" t="s">
        <v>22</v>
      </c>
      <c r="G251" s="1" t="s">
        <v>23</v>
      </c>
      <c r="H251" s="1">
        <v>37</v>
      </c>
      <c r="I251" s="1" t="str">
        <f t="shared" si="3"/>
        <v>31-45</v>
      </c>
      <c r="J251" s="3">
        <v>42405</v>
      </c>
      <c r="K251" s="4">
        <v>80055</v>
      </c>
      <c r="L251" s="5">
        <v>0.06</v>
      </c>
      <c r="M251" s="1" t="s">
        <v>46</v>
      </c>
      <c r="N251" s="1" t="s">
        <v>271</v>
      </c>
      <c r="O251" s="6" t="s">
        <v>26</v>
      </c>
    </row>
    <row r="252" spans="1:15" x14ac:dyDescent="0.35">
      <c r="A252" t="s">
        <v>588</v>
      </c>
      <c r="B252" s="1" t="s">
        <v>589</v>
      </c>
      <c r="C252" s="1" t="s">
        <v>110</v>
      </c>
      <c r="D252" s="1" t="s">
        <v>61</v>
      </c>
      <c r="E252" s="1" t="s">
        <v>30</v>
      </c>
      <c r="F252" s="1" t="s">
        <v>35</v>
      </c>
      <c r="G252" s="1" t="s">
        <v>23</v>
      </c>
      <c r="H252" s="1">
        <v>45</v>
      </c>
      <c r="I252" s="1" t="str">
        <f t="shared" si="3"/>
        <v>31-45</v>
      </c>
      <c r="J252" s="3">
        <v>42428</v>
      </c>
      <c r="K252" s="4">
        <v>211637</v>
      </c>
      <c r="L252" s="5">
        <v>0.13</v>
      </c>
      <c r="M252" s="1" t="s">
        <v>36</v>
      </c>
      <c r="N252" s="1" t="s">
        <v>275</v>
      </c>
      <c r="O252" s="6" t="s">
        <v>26</v>
      </c>
    </row>
    <row r="253" spans="1:15" x14ac:dyDescent="0.35">
      <c r="A253" t="s">
        <v>590</v>
      </c>
      <c r="B253" s="1" t="s">
        <v>378</v>
      </c>
      <c r="C253" s="1" t="s">
        <v>60</v>
      </c>
      <c r="D253" s="1" t="s">
        <v>61</v>
      </c>
      <c r="E253" s="1" t="s">
        <v>21</v>
      </c>
      <c r="F253" s="1" t="s">
        <v>35</v>
      </c>
      <c r="G253" s="1" t="s">
        <v>23</v>
      </c>
      <c r="H253" s="1">
        <v>30</v>
      </c>
      <c r="I253" s="1" t="str">
        <f t="shared" si="3"/>
        <v>18-30</v>
      </c>
      <c r="J253" s="3">
        <v>42484</v>
      </c>
      <c r="K253" s="4">
        <v>120341</v>
      </c>
      <c r="L253" s="5">
        <v>0.15</v>
      </c>
      <c r="M253" s="1" t="s">
        <v>24</v>
      </c>
      <c r="N253" s="1" t="s">
        <v>278</v>
      </c>
      <c r="O253" s="6" t="s">
        <v>26</v>
      </c>
    </row>
    <row r="254" spans="1:15" x14ac:dyDescent="0.35">
      <c r="A254" t="s">
        <v>591</v>
      </c>
      <c r="B254" s="1" t="s">
        <v>592</v>
      </c>
      <c r="C254" s="1" t="s">
        <v>329</v>
      </c>
      <c r="D254" s="1" t="s">
        <v>3</v>
      </c>
      <c r="E254" s="1" t="s">
        <v>21</v>
      </c>
      <c r="F254" s="1" t="s">
        <v>35</v>
      </c>
      <c r="G254" s="1" t="s">
        <v>23</v>
      </c>
      <c r="H254" s="1">
        <v>36</v>
      </c>
      <c r="I254" s="1" t="str">
        <f t="shared" si="3"/>
        <v>31-45</v>
      </c>
      <c r="J254" s="3">
        <v>42489</v>
      </c>
      <c r="K254" s="4">
        <v>75862</v>
      </c>
      <c r="L254" s="5">
        <v>0.06</v>
      </c>
      <c r="M254" s="1" t="s">
        <v>24</v>
      </c>
      <c r="N254" s="1" t="s">
        <v>281</v>
      </c>
      <c r="O254" s="6" t="s">
        <v>26</v>
      </c>
    </row>
    <row r="255" spans="1:15" x14ac:dyDescent="0.35">
      <c r="A255" t="s">
        <v>593</v>
      </c>
      <c r="B255" s="1" t="s">
        <v>283</v>
      </c>
      <c r="C255" s="1" t="s">
        <v>335</v>
      </c>
      <c r="D255" s="1" t="s">
        <v>3</v>
      </c>
      <c r="E255" s="1" t="s">
        <v>73</v>
      </c>
      <c r="F255" s="1" t="s">
        <v>22</v>
      </c>
      <c r="G255" s="1" t="s">
        <v>23</v>
      </c>
      <c r="H255" s="1">
        <v>35</v>
      </c>
      <c r="I255" s="1" t="str">
        <f t="shared" si="3"/>
        <v>31-45</v>
      </c>
      <c r="J255" s="3">
        <v>42493</v>
      </c>
      <c r="K255" s="4">
        <v>73899</v>
      </c>
      <c r="L255" s="5">
        <v>0.15</v>
      </c>
      <c r="M255" s="1" t="s">
        <v>284</v>
      </c>
      <c r="N255" s="1" t="s">
        <v>285</v>
      </c>
      <c r="O255" s="6" t="s">
        <v>26</v>
      </c>
    </row>
    <row r="256" spans="1:15" x14ac:dyDescent="0.35">
      <c r="A256" t="s">
        <v>594</v>
      </c>
      <c r="B256" s="1" t="s">
        <v>287</v>
      </c>
      <c r="C256" s="1" t="s">
        <v>45</v>
      </c>
      <c r="D256" s="1" t="s">
        <v>187</v>
      </c>
      <c r="E256" s="1" t="s">
        <v>73</v>
      </c>
      <c r="F256" s="1" t="s">
        <v>22</v>
      </c>
      <c r="G256" s="1" t="s">
        <v>23</v>
      </c>
      <c r="H256" s="1">
        <v>54</v>
      </c>
      <c r="I256" s="1" t="str">
        <f t="shared" si="3"/>
        <v>46-60</v>
      </c>
      <c r="J256" s="3">
        <v>42494</v>
      </c>
      <c r="K256" s="4">
        <v>93668</v>
      </c>
      <c r="L256" s="5">
        <v>0.12</v>
      </c>
      <c r="M256" s="1" t="s">
        <v>24</v>
      </c>
      <c r="N256" s="1" t="s">
        <v>288</v>
      </c>
      <c r="O256" s="6" t="s">
        <v>26</v>
      </c>
    </row>
    <row r="257" spans="1:15" x14ac:dyDescent="0.35">
      <c r="A257" t="s">
        <v>595</v>
      </c>
      <c r="B257" s="1" t="s">
        <v>290</v>
      </c>
      <c r="C257" s="1" t="s">
        <v>137</v>
      </c>
      <c r="D257" s="1" t="s">
        <v>3</v>
      </c>
      <c r="E257" s="1" t="s">
        <v>41</v>
      </c>
      <c r="F257" s="1" t="s">
        <v>35</v>
      </c>
      <c r="G257" s="1" t="s">
        <v>23</v>
      </c>
      <c r="H257" s="1">
        <v>34</v>
      </c>
      <c r="I257" s="1" t="str">
        <f t="shared" si="3"/>
        <v>31-45</v>
      </c>
      <c r="J257" s="3">
        <v>42512</v>
      </c>
      <c r="K257" s="4">
        <v>44614</v>
      </c>
      <c r="L257" s="5">
        <v>0.06</v>
      </c>
      <c r="M257" s="1" t="s">
        <v>24</v>
      </c>
      <c r="N257" s="1" t="s">
        <v>291</v>
      </c>
      <c r="O257" s="6" t="s">
        <v>26</v>
      </c>
    </row>
    <row r="258" spans="1:15" x14ac:dyDescent="0.35">
      <c r="A258" t="s">
        <v>596</v>
      </c>
      <c r="B258" s="1" t="s">
        <v>293</v>
      </c>
      <c r="C258" s="1" t="s">
        <v>2</v>
      </c>
      <c r="D258" s="1" t="s">
        <v>187</v>
      </c>
      <c r="E258" s="1" t="s">
        <v>41</v>
      </c>
      <c r="F258" s="1" t="s">
        <v>22</v>
      </c>
      <c r="G258" s="1" t="s">
        <v>23</v>
      </c>
      <c r="H258" s="1">
        <v>29</v>
      </c>
      <c r="I258" s="1" t="str">
        <f t="shared" si="3"/>
        <v>18-30</v>
      </c>
      <c r="J258" s="3">
        <v>42602</v>
      </c>
      <c r="K258" s="4">
        <v>58703</v>
      </c>
      <c r="L258" s="5">
        <v>0.05</v>
      </c>
      <c r="M258" s="1" t="s">
        <v>46</v>
      </c>
      <c r="N258" s="1" t="s">
        <v>294</v>
      </c>
      <c r="O258" s="6" t="s">
        <v>26</v>
      </c>
    </row>
    <row r="259" spans="1:15" x14ac:dyDescent="0.35">
      <c r="A259" t="s">
        <v>597</v>
      </c>
      <c r="B259" s="1" t="s">
        <v>598</v>
      </c>
      <c r="C259" s="1" t="s">
        <v>60</v>
      </c>
      <c r="D259" s="1" t="s">
        <v>80</v>
      </c>
      <c r="E259" s="1" t="s">
        <v>21</v>
      </c>
      <c r="F259" s="1" t="s">
        <v>35</v>
      </c>
      <c r="G259" s="1" t="s">
        <v>23</v>
      </c>
      <c r="H259" s="1">
        <v>37</v>
      </c>
      <c r="I259" s="1" t="str">
        <f t="shared" ref="I259:I322" si="4">IF(H259&gt;=60,"&gt;60",IF(H259&gt;=46,"46-60",IF(H259&gt;=31,"31-45",IF(H259&gt;18,"18-30",""))))</f>
        <v>31-45</v>
      </c>
      <c r="J259" s="3">
        <v>42605</v>
      </c>
      <c r="K259" s="4">
        <v>124928</v>
      </c>
      <c r="L259" s="5">
        <v>0.1</v>
      </c>
      <c r="M259" s="1" t="s">
        <v>24</v>
      </c>
      <c r="N259" s="1" t="s">
        <v>296</v>
      </c>
      <c r="O259" s="6" t="s">
        <v>26</v>
      </c>
    </row>
    <row r="260" spans="1:15" x14ac:dyDescent="0.35">
      <c r="A260" t="s">
        <v>599</v>
      </c>
      <c r="B260" s="1" t="s">
        <v>600</v>
      </c>
      <c r="C260" s="1" t="s">
        <v>69</v>
      </c>
      <c r="D260" s="1" t="s">
        <v>20</v>
      </c>
      <c r="E260" s="1" t="s">
        <v>21</v>
      </c>
      <c r="F260" s="1" t="s">
        <v>35</v>
      </c>
      <c r="G260" s="1" t="s">
        <v>23</v>
      </c>
      <c r="H260" s="1">
        <v>40</v>
      </c>
      <c r="I260" s="1" t="str">
        <f t="shared" si="4"/>
        <v>31-45</v>
      </c>
      <c r="J260" s="3">
        <v>42622</v>
      </c>
      <c r="K260" s="4">
        <v>109680</v>
      </c>
      <c r="L260" s="5">
        <v>0.15</v>
      </c>
      <c r="M260" s="1" t="s">
        <v>46</v>
      </c>
      <c r="N260" s="1" t="s">
        <v>298</v>
      </c>
      <c r="O260" s="6" t="s">
        <v>26</v>
      </c>
    </row>
    <row r="261" spans="1:15" x14ac:dyDescent="0.35">
      <c r="A261" t="s">
        <v>601</v>
      </c>
      <c r="B261" s="1" t="s">
        <v>602</v>
      </c>
      <c r="C261" s="1" t="s">
        <v>162</v>
      </c>
      <c r="D261" s="1" t="s">
        <v>1</v>
      </c>
      <c r="E261" s="1" t="s">
        <v>73</v>
      </c>
      <c r="F261" s="1" t="s">
        <v>22</v>
      </c>
      <c r="G261" s="1" t="s">
        <v>23</v>
      </c>
      <c r="H261" s="1">
        <v>30</v>
      </c>
      <c r="I261" s="1" t="str">
        <f t="shared" si="4"/>
        <v>18-30</v>
      </c>
      <c r="J261" s="3">
        <v>42642</v>
      </c>
      <c r="K261" s="4">
        <v>59100</v>
      </c>
      <c r="L261" s="5">
        <v>0.17</v>
      </c>
      <c r="M261" s="1" t="s">
        <v>24</v>
      </c>
      <c r="N261" s="1" t="s">
        <v>163</v>
      </c>
      <c r="O261" s="6" t="s">
        <v>26</v>
      </c>
    </row>
    <row r="262" spans="1:15" x14ac:dyDescent="0.35">
      <c r="A262" t="s">
        <v>603</v>
      </c>
      <c r="B262" s="1" t="s">
        <v>604</v>
      </c>
      <c r="C262" s="1" t="s">
        <v>29</v>
      </c>
      <c r="D262" s="1" t="s">
        <v>56</v>
      </c>
      <c r="E262" s="1" t="s">
        <v>30</v>
      </c>
      <c r="F262" s="1" t="s">
        <v>35</v>
      </c>
      <c r="G262" s="1" t="s">
        <v>23</v>
      </c>
      <c r="H262" s="1">
        <v>57</v>
      </c>
      <c r="I262" s="1" t="str">
        <f t="shared" si="4"/>
        <v>46-60</v>
      </c>
      <c r="J262" s="3">
        <v>42667</v>
      </c>
      <c r="K262" s="4">
        <v>176324</v>
      </c>
      <c r="L262" s="5">
        <v>0.08</v>
      </c>
      <c r="M262" s="1" t="s">
        <v>46</v>
      </c>
      <c r="N262" s="1" t="s">
        <v>301</v>
      </c>
      <c r="O262" s="6" t="s">
        <v>26</v>
      </c>
    </row>
    <row r="263" spans="1:15" x14ac:dyDescent="0.35">
      <c r="A263" t="s">
        <v>605</v>
      </c>
      <c r="B263" s="1" t="s">
        <v>303</v>
      </c>
      <c r="C263" s="1" t="s">
        <v>123</v>
      </c>
      <c r="D263" s="1" t="s">
        <v>3</v>
      </c>
      <c r="E263" s="1" t="s">
        <v>21</v>
      </c>
      <c r="F263" s="1" t="s">
        <v>22</v>
      </c>
      <c r="G263" s="1" t="s">
        <v>23</v>
      </c>
      <c r="H263" s="1">
        <v>55</v>
      </c>
      <c r="I263" s="1" t="str">
        <f t="shared" si="4"/>
        <v>46-60</v>
      </c>
      <c r="J263" s="3">
        <v>42683</v>
      </c>
      <c r="K263" s="4">
        <v>87851</v>
      </c>
      <c r="L263" s="5">
        <v>0.15</v>
      </c>
      <c r="M263" s="1" t="s">
        <v>304</v>
      </c>
      <c r="N263" s="1" t="s">
        <v>305</v>
      </c>
      <c r="O263" s="6" t="s">
        <v>26</v>
      </c>
    </row>
    <row r="264" spans="1:15" x14ac:dyDescent="0.35">
      <c r="A264" t="s">
        <v>606</v>
      </c>
      <c r="B264" s="1" t="s">
        <v>307</v>
      </c>
      <c r="C264" s="1" t="s">
        <v>110</v>
      </c>
      <c r="D264" s="1" t="s">
        <v>3</v>
      </c>
      <c r="E264" s="1" t="s">
        <v>73</v>
      </c>
      <c r="F264" s="1" t="s">
        <v>35</v>
      </c>
      <c r="G264" s="1" t="s">
        <v>23</v>
      </c>
      <c r="H264" s="1">
        <v>57</v>
      </c>
      <c r="I264" s="1" t="str">
        <f t="shared" si="4"/>
        <v>46-60</v>
      </c>
      <c r="J264" s="3">
        <v>42685</v>
      </c>
      <c r="K264" s="4">
        <v>246589</v>
      </c>
      <c r="L264" s="5">
        <v>0.08</v>
      </c>
      <c r="M264" s="1" t="s">
        <v>24</v>
      </c>
      <c r="N264" s="1" t="s">
        <v>141</v>
      </c>
      <c r="O264" s="6">
        <v>42820</v>
      </c>
    </row>
    <row r="265" spans="1:15" x14ac:dyDescent="0.35">
      <c r="A265" t="s">
        <v>607</v>
      </c>
      <c r="B265" s="1" t="s">
        <v>309</v>
      </c>
      <c r="C265" s="1" t="s">
        <v>110</v>
      </c>
      <c r="D265" s="1" t="s">
        <v>1</v>
      </c>
      <c r="E265" s="1" t="s">
        <v>73</v>
      </c>
      <c r="F265" s="1" t="s">
        <v>22</v>
      </c>
      <c r="G265" s="1" t="s">
        <v>23</v>
      </c>
      <c r="H265" s="1">
        <v>47</v>
      </c>
      <c r="I265" s="1" t="str">
        <f t="shared" si="4"/>
        <v>46-60</v>
      </c>
      <c r="J265" s="3">
        <v>42696</v>
      </c>
      <c r="K265" s="4">
        <v>253249</v>
      </c>
      <c r="L265" s="5">
        <v>0.1</v>
      </c>
      <c r="M265" s="1" t="s">
        <v>36</v>
      </c>
      <c r="N265" s="1" t="s">
        <v>310</v>
      </c>
      <c r="O265" s="6" t="s">
        <v>26</v>
      </c>
    </row>
    <row r="266" spans="1:15" x14ac:dyDescent="0.35">
      <c r="A266" t="s">
        <v>608</v>
      </c>
      <c r="B266" s="1" t="s">
        <v>312</v>
      </c>
      <c r="C266" s="1" t="s">
        <v>144</v>
      </c>
      <c r="D266" s="1" t="s">
        <v>80</v>
      </c>
      <c r="E266" s="1" t="s">
        <v>41</v>
      </c>
      <c r="F266" s="1" t="s">
        <v>35</v>
      </c>
      <c r="G266" s="1" t="s">
        <v>23</v>
      </c>
      <c r="H266" s="1">
        <v>45</v>
      </c>
      <c r="I266" s="1" t="str">
        <f t="shared" si="4"/>
        <v>31-45</v>
      </c>
      <c r="J266" s="3">
        <v>42711</v>
      </c>
      <c r="K266" s="4">
        <v>71454</v>
      </c>
      <c r="L266" s="5">
        <v>0.12</v>
      </c>
      <c r="M266" s="1" t="s">
        <v>24</v>
      </c>
      <c r="N266" s="1" t="s">
        <v>313</v>
      </c>
      <c r="O266" s="6" t="s">
        <v>26</v>
      </c>
    </row>
    <row r="267" spans="1:15" x14ac:dyDescent="0.35">
      <c r="A267" t="s">
        <v>609</v>
      </c>
      <c r="B267" s="1" t="s">
        <v>315</v>
      </c>
      <c r="C267" s="1" t="s">
        <v>2</v>
      </c>
      <c r="D267" s="1" t="s">
        <v>1</v>
      </c>
      <c r="E267" s="1" t="s">
        <v>30</v>
      </c>
      <c r="F267" s="1" t="s">
        <v>22</v>
      </c>
      <c r="G267" s="1" t="s">
        <v>23</v>
      </c>
      <c r="H267" s="1">
        <v>40</v>
      </c>
      <c r="I267" s="1" t="str">
        <f t="shared" si="4"/>
        <v>31-45</v>
      </c>
      <c r="J267" s="3">
        <v>42721</v>
      </c>
      <c r="K267" s="4">
        <v>50733</v>
      </c>
      <c r="L267" s="5">
        <v>0.14000000000000001</v>
      </c>
      <c r="M267" s="1" t="s">
        <v>46</v>
      </c>
      <c r="N267" s="1" t="s">
        <v>316</v>
      </c>
      <c r="O267" s="6" t="s">
        <v>26</v>
      </c>
    </row>
    <row r="268" spans="1:15" x14ac:dyDescent="0.35">
      <c r="A268" t="s">
        <v>610</v>
      </c>
      <c r="B268" s="1" t="s">
        <v>318</v>
      </c>
      <c r="C268" s="1" t="s">
        <v>60</v>
      </c>
      <c r="D268" s="1" t="s">
        <v>56</v>
      </c>
      <c r="E268" s="1" t="s">
        <v>73</v>
      </c>
      <c r="F268" s="1" t="s">
        <v>35</v>
      </c>
      <c r="G268" s="1" t="s">
        <v>23</v>
      </c>
      <c r="H268" s="1">
        <v>32</v>
      </c>
      <c r="I268" s="1" t="str">
        <f t="shared" si="4"/>
        <v>31-45</v>
      </c>
      <c r="J268" s="3">
        <v>42738</v>
      </c>
      <c r="K268" s="4">
        <v>101870</v>
      </c>
      <c r="L268" s="5">
        <v>0.15</v>
      </c>
      <c r="M268" s="1" t="s">
        <v>24</v>
      </c>
      <c r="N268" s="1" t="s">
        <v>320</v>
      </c>
      <c r="O268" s="6" t="s">
        <v>26</v>
      </c>
    </row>
    <row r="269" spans="1:15" x14ac:dyDescent="0.35">
      <c r="A269" t="s">
        <v>611</v>
      </c>
      <c r="B269" s="1" t="s">
        <v>612</v>
      </c>
      <c r="C269" s="1" t="s">
        <v>536</v>
      </c>
      <c r="D269" s="1" t="s">
        <v>3</v>
      </c>
      <c r="E269" s="1" t="s">
        <v>41</v>
      </c>
      <c r="F269" s="1" t="s">
        <v>22</v>
      </c>
      <c r="G269" s="1" t="s">
        <v>23</v>
      </c>
      <c r="H269" s="1">
        <v>43</v>
      </c>
      <c r="I269" s="1" t="str">
        <f t="shared" si="4"/>
        <v>31-45</v>
      </c>
      <c r="J269" s="3">
        <v>42753</v>
      </c>
      <c r="K269" s="4">
        <v>86417</v>
      </c>
      <c r="L269" s="5">
        <v>0.11</v>
      </c>
      <c r="M269" s="1" t="s">
        <v>24</v>
      </c>
      <c r="N269" s="1" t="s">
        <v>322</v>
      </c>
      <c r="O269" s="6" t="s">
        <v>26</v>
      </c>
    </row>
    <row r="270" spans="1:15" x14ac:dyDescent="0.35">
      <c r="A270" t="s">
        <v>613</v>
      </c>
      <c r="B270" s="1" t="s">
        <v>614</v>
      </c>
      <c r="C270" s="1" t="s">
        <v>162</v>
      </c>
      <c r="D270" s="1" t="s">
        <v>1</v>
      </c>
      <c r="E270" s="1" t="s">
        <v>30</v>
      </c>
      <c r="F270" s="1" t="s">
        <v>22</v>
      </c>
      <c r="G270" s="1" t="s">
        <v>23</v>
      </c>
      <c r="H270" s="1">
        <v>57</v>
      </c>
      <c r="I270" s="1" t="str">
        <f t="shared" si="4"/>
        <v>46-60</v>
      </c>
      <c r="J270" s="3">
        <v>42759</v>
      </c>
      <c r="K270" s="4">
        <v>50994</v>
      </c>
      <c r="L270" s="5">
        <v>0.12</v>
      </c>
      <c r="M270" s="1" t="s">
        <v>218</v>
      </c>
      <c r="N270" s="1" t="s">
        <v>324</v>
      </c>
      <c r="O270" s="6" t="s">
        <v>26</v>
      </c>
    </row>
    <row r="271" spans="1:15" x14ac:dyDescent="0.35">
      <c r="A271" t="s">
        <v>615</v>
      </c>
      <c r="B271" s="1" t="s">
        <v>616</v>
      </c>
      <c r="C271" s="1" t="s">
        <v>102</v>
      </c>
      <c r="D271" s="1" t="s">
        <v>61</v>
      </c>
      <c r="E271" s="1" t="s">
        <v>41</v>
      </c>
      <c r="F271" s="1" t="s">
        <v>22</v>
      </c>
      <c r="G271" s="1" t="s">
        <v>23</v>
      </c>
      <c r="H271" s="1">
        <v>32</v>
      </c>
      <c r="I271" s="1" t="str">
        <f t="shared" si="4"/>
        <v>31-45</v>
      </c>
      <c r="J271" s="3">
        <v>42764</v>
      </c>
      <c r="K271" s="4">
        <v>143970</v>
      </c>
      <c r="L271" s="5">
        <v>0.13</v>
      </c>
      <c r="M271" s="1" t="s">
        <v>24</v>
      </c>
      <c r="N271" s="1" t="s">
        <v>326</v>
      </c>
      <c r="O271" s="6">
        <v>43078</v>
      </c>
    </row>
    <row r="272" spans="1:15" x14ac:dyDescent="0.35">
      <c r="A272" t="s">
        <v>617</v>
      </c>
      <c r="B272" s="1" t="s">
        <v>618</v>
      </c>
      <c r="C272" s="1" t="s">
        <v>446</v>
      </c>
      <c r="D272" s="1" t="s">
        <v>20</v>
      </c>
      <c r="E272" s="1" t="s">
        <v>73</v>
      </c>
      <c r="F272" s="1" t="s">
        <v>35</v>
      </c>
      <c r="G272" s="1" t="s">
        <v>23</v>
      </c>
      <c r="H272" s="1">
        <v>35</v>
      </c>
      <c r="I272" s="1" t="str">
        <f t="shared" si="4"/>
        <v>31-45</v>
      </c>
      <c r="J272" s="3">
        <v>42776</v>
      </c>
      <c r="K272" s="4">
        <v>60132</v>
      </c>
      <c r="L272" s="5">
        <v>0.16</v>
      </c>
      <c r="M272" s="1" t="s">
        <v>46</v>
      </c>
      <c r="N272" s="1" t="s">
        <v>330</v>
      </c>
      <c r="O272" s="6" t="s">
        <v>26</v>
      </c>
    </row>
    <row r="273" spans="1:15" x14ac:dyDescent="0.35">
      <c r="A273" t="s">
        <v>619</v>
      </c>
      <c r="B273" s="1" t="s">
        <v>620</v>
      </c>
      <c r="C273" s="1" t="s">
        <v>446</v>
      </c>
      <c r="D273" s="1" t="s">
        <v>20</v>
      </c>
      <c r="E273" s="1" t="s">
        <v>73</v>
      </c>
      <c r="F273" s="1" t="s">
        <v>35</v>
      </c>
      <c r="G273" s="1" t="s">
        <v>23</v>
      </c>
      <c r="H273" s="1">
        <v>51</v>
      </c>
      <c r="I273" s="1" t="str">
        <f t="shared" si="4"/>
        <v>46-60</v>
      </c>
      <c r="J273" s="3">
        <v>42777</v>
      </c>
      <c r="K273" s="4">
        <v>87036</v>
      </c>
      <c r="L273" s="5">
        <v>0.09</v>
      </c>
      <c r="M273" s="1" t="s">
        <v>24</v>
      </c>
      <c r="N273" s="1" t="s">
        <v>117</v>
      </c>
      <c r="O273" s="6" t="s">
        <v>26</v>
      </c>
    </row>
    <row r="274" spans="1:15" x14ac:dyDescent="0.35">
      <c r="A274" t="s">
        <v>621</v>
      </c>
      <c r="B274" s="1" t="s">
        <v>332</v>
      </c>
      <c r="C274" s="1" t="s">
        <v>45</v>
      </c>
      <c r="D274" s="1" t="s">
        <v>61</v>
      </c>
      <c r="E274" s="1" t="s">
        <v>41</v>
      </c>
      <c r="F274" s="1" t="s">
        <v>22</v>
      </c>
      <c r="G274" s="1" t="s">
        <v>23</v>
      </c>
      <c r="H274" s="1">
        <v>63</v>
      </c>
      <c r="I274" s="1" t="str">
        <f t="shared" si="4"/>
        <v>&gt;60</v>
      </c>
      <c r="J274" s="3">
        <v>42778</v>
      </c>
      <c r="K274" s="4">
        <v>77629</v>
      </c>
      <c r="L274" s="5">
        <v>0.06</v>
      </c>
      <c r="M274" s="1" t="s">
        <v>24</v>
      </c>
      <c r="N274" s="1" t="s">
        <v>336</v>
      </c>
      <c r="O274" s="6" t="s">
        <v>26</v>
      </c>
    </row>
    <row r="275" spans="1:15" x14ac:dyDescent="0.35">
      <c r="A275" t="s">
        <v>622</v>
      </c>
      <c r="B275" s="1" t="s">
        <v>334</v>
      </c>
      <c r="C275" s="1" t="s">
        <v>274</v>
      </c>
      <c r="D275" s="1" t="s">
        <v>3</v>
      </c>
      <c r="E275" s="1" t="s">
        <v>73</v>
      </c>
      <c r="F275" s="1" t="s">
        <v>22</v>
      </c>
      <c r="G275" s="1" t="s">
        <v>23</v>
      </c>
      <c r="H275" s="1">
        <v>31</v>
      </c>
      <c r="I275" s="1" t="str">
        <f t="shared" si="4"/>
        <v>31-45</v>
      </c>
      <c r="J275" s="3">
        <v>42780</v>
      </c>
      <c r="K275" s="4">
        <v>95963</v>
      </c>
      <c r="L275" s="5">
        <v>0.17</v>
      </c>
      <c r="M275" s="1" t="s">
        <v>284</v>
      </c>
      <c r="N275" s="1" t="s">
        <v>339</v>
      </c>
      <c r="O275" s="6" t="s">
        <v>26</v>
      </c>
    </row>
    <row r="276" spans="1:15" x14ac:dyDescent="0.35">
      <c r="A276" t="s">
        <v>623</v>
      </c>
      <c r="B276" s="1" t="s">
        <v>338</v>
      </c>
      <c r="C276" s="1" t="s">
        <v>29</v>
      </c>
      <c r="D276" s="1" t="s">
        <v>61</v>
      </c>
      <c r="E276" s="1" t="s">
        <v>41</v>
      </c>
      <c r="F276" s="1" t="s">
        <v>35</v>
      </c>
      <c r="G276" s="1" t="s">
        <v>23</v>
      </c>
      <c r="H276" s="1">
        <v>35</v>
      </c>
      <c r="I276" s="1" t="str">
        <f t="shared" si="4"/>
        <v>31-45</v>
      </c>
      <c r="J276" s="3">
        <v>42800</v>
      </c>
      <c r="K276" s="4">
        <v>171426</v>
      </c>
      <c r="L276" s="5">
        <v>0.15</v>
      </c>
      <c r="M276" s="1" t="s">
        <v>24</v>
      </c>
      <c r="N276" s="1" t="s">
        <v>138</v>
      </c>
      <c r="O276" s="6">
        <v>43000</v>
      </c>
    </row>
    <row r="277" spans="1:15" x14ac:dyDescent="0.35">
      <c r="A277" t="s">
        <v>624</v>
      </c>
      <c r="B277" s="1" t="s">
        <v>341</v>
      </c>
      <c r="C277" s="1" t="s">
        <v>110</v>
      </c>
      <c r="D277" s="1" t="s">
        <v>56</v>
      </c>
      <c r="E277" s="1" t="s">
        <v>30</v>
      </c>
      <c r="F277" s="1" t="s">
        <v>35</v>
      </c>
      <c r="G277" s="1" t="s">
        <v>23</v>
      </c>
      <c r="H277" s="1">
        <v>61</v>
      </c>
      <c r="I277" s="1" t="str">
        <f t="shared" si="4"/>
        <v>&gt;60</v>
      </c>
      <c r="J277" s="3">
        <v>42804</v>
      </c>
      <c r="K277" s="4">
        <v>196951</v>
      </c>
      <c r="L277" s="5">
        <v>0.05</v>
      </c>
      <c r="M277" s="1" t="s">
        <v>46</v>
      </c>
      <c r="N277" s="1" t="s">
        <v>345</v>
      </c>
      <c r="O277" s="6" t="s">
        <v>26</v>
      </c>
    </row>
    <row r="278" spans="1:15" x14ac:dyDescent="0.35">
      <c r="A278" t="s">
        <v>625</v>
      </c>
      <c r="B278" s="1" t="s">
        <v>626</v>
      </c>
      <c r="C278" s="1" t="s">
        <v>102</v>
      </c>
      <c r="D278" s="1" t="s">
        <v>3</v>
      </c>
      <c r="E278" s="1" t="s">
        <v>41</v>
      </c>
      <c r="F278" s="1" t="s">
        <v>35</v>
      </c>
      <c r="G278" s="1" t="s">
        <v>23</v>
      </c>
      <c r="H278" s="1">
        <v>39</v>
      </c>
      <c r="I278" s="1" t="str">
        <f t="shared" si="4"/>
        <v>31-45</v>
      </c>
      <c r="J278" s="3">
        <v>42819</v>
      </c>
      <c r="K278" s="4">
        <v>135325</v>
      </c>
      <c r="L278" s="5">
        <v>7.0000000000000007E-2</v>
      </c>
      <c r="M278" s="1" t="s">
        <v>24</v>
      </c>
      <c r="N278" s="1" t="s">
        <v>348</v>
      </c>
      <c r="O278" s="6" t="s">
        <v>26</v>
      </c>
    </row>
    <row r="279" spans="1:15" x14ac:dyDescent="0.35">
      <c r="A279" t="s">
        <v>627</v>
      </c>
      <c r="B279" s="1" t="s">
        <v>347</v>
      </c>
      <c r="C279" s="1" t="s">
        <v>102</v>
      </c>
      <c r="D279" s="1" t="s">
        <v>56</v>
      </c>
      <c r="E279" s="1" t="s">
        <v>41</v>
      </c>
      <c r="F279" s="1" t="s">
        <v>35</v>
      </c>
      <c r="G279" s="1" t="s">
        <v>23</v>
      </c>
      <c r="H279" s="1">
        <v>32</v>
      </c>
      <c r="I279" s="1" t="str">
        <f t="shared" si="4"/>
        <v>31-45</v>
      </c>
      <c r="J279" s="3">
        <v>42839</v>
      </c>
      <c r="K279" s="4">
        <v>154956</v>
      </c>
      <c r="L279" s="5">
        <v>0.14000000000000001</v>
      </c>
      <c r="M279" s="1" t="s">
        <v>24</v>
      </c>
      <c r="N279" s="1" t="s">
        <v>351</v>
      </c>
      <c r="O279" s="6" t="s">
        <v>26</v>
      </c>
    </row>
    <row r="280" spans="1:15" x14ac:dyDescent="0.35">
      <c r="A280" t="s">
        <v>628</v>
      </c>
      <c r="B280" s="1" t="s">
        <v>350</v>
      </c>
      <c r="C280" s="1" t="s">
        <v>2</v>
      </c>
      <c r="D280" s="1" t="s">
        <v>187</v>
      </c>
      <c r="E280" s="1" t="s">
        <v>30</v>
      </c>
      <c r="F280" s="1" t="s">
        <v>22</v>
      </c>
      <c r="G280" s="1" t="s">
        <v>23</v>
      </c>
      <c r="H280" s="1">
        <v>28</v>
      </c>
      <c r="I280" s="1" t="str">
        <f t="shared" si="4"/>
        <v>18-30</v>
      </c>
      <c r="J280" s="3">
        <v>42867</v>
      </c>
      <c r="K280" s="4">
        <v>52069</v>
      </c>
      <c r="L280" s="5">
        <v>0.1</v>
      </c>
      <c r="M280" s="1" t="s">
        <v>36</v>
      </c>
      <c r="N280" s="1" t="s">
        <v>354</v>
      </c>
      <c r="O280" s="6" t="s">
        <v>26</v>
      </c>
    </row>
    <row r="281" spans="1:15" x14ac:dyDescent="0.35">
      <c r="A281" t="s">
        <v>629</v>
      </c>
      <c r="B281" s="1" t="s">
        <v>353</v>
      </c>
      <c r="C281" s="1" t="s">
        <v>540</v>
      </c>
      <c r="D281" s="1" t="s">
        <v>20</v>
      </c>
      <c r="E281" s="1" t="s">
        <v>21</v>
      </c>
      <c r="F281" s="1" t="s">
        <v>35</v>
      </c>
      <c r="G281" s="1" t="s">
        <v>23</v>
      </c>
      <c r="H281" s="1">
        <v>30</v>
      </c>
      <c r="I281" s="1" t="str">
        <f t="shared" si="4"/>
        <v>18-30</v>
      </c>
      <c r="J281" s="3">
        <v>42877</v>
      </c>
      <c r="K281" s="4">
        <v>86858</v>
      </c>
      <c r="L281" s="5">
        <v>0.08</v>
      </c>
      <c r="M281" s="1" t="s">
        <v>24</v>
      </c>
      <c r="N281" s="1" t="s">
        <v>357</v>
      </c>
      <c r="O281" s="6">
        <v>43016</v>
      </c>
    </row>
    <row r="282" spans="1:15" x14ac:dyDescent="0.35">
      <c r="A282" t="s">
        <v>630</v>
      </c>
      <c r="B282" s="1" t="s">
        <v>356</v>
      </c>
      <c r="C282" s="1" t="s">
        <v>55</v>
      </c>
      <c r="D282" s="1" t="s">
        <v>56</v>
      </c>
      <c r="E282" s="1" t="s">
        <v>73</v>
      </c>
      <c r="F282" s="1" t="s">
        <v>22</v>
      </c>
      <c r="G282" s="1" t="s">
        <v>23</v>
      </c>
      <c r="H282" s="1">
        <v>30</v>
      </c>
      <c r="I282" s="1" t="str">
        <f t="shared" si="4"/>
        <v>18-30</v>
      </c>
      <c r="J282" s="3">
        <v>42884</v>
      </c>
      <c r="K282" s="4">
        <v>86317</v>
      </c>
      <c r="L282" s="5">
        <v>0.05</v>
      </c>
      <c r="M282" s="1" t="s">
        <v>24</v>
      </c>
      <c r="N282" s="1" t="s">
        <v>360</v>
      </c>
      <c r="O282" s="6">
        <v>42932</v>
      </c>
    </row>
    <row r="283" spans="1:15" x14ac:dyDescent="0.35">
      <c r="A283" t="s">
        <v>631</v>
      </c>
      <c r="B283" s="1" t="s">
        <v>359</v>
      </c>
      <c r="C283" s="1" t="s">
        <v>29</v>
      </c>
      <c r="D283" s="1" t="s">
        <v>80</v>
      </c>
      <c r="E283" s="1" t="s">
        <v>30</v>
      </c>
      <c r="F283" s="1" t="s">
        <v>22</v>
      </c>
      <c r="G283" s="1" t="s">
        <v>23</v>
      </c>
      <c r="H283" s="1">
        <v>60</v>
      </c>
      <c r="I283" s="1" t="str">
        <f t="shared" si="4"/>
        <v>&gt;60</v>
      </c>
      <c r="J283" s="3">
        <v>42891</v>
      </c>
      <c r="K283" s="4">
        <v>158898</v>
      </c>
      <c r="L283" s="5">
        <v>0.13</v>
      </c>
      <c r="M283" s="1" t="s">
        <v>46</v>
      </c>
      <c r="N283" s="1" t="s">
        <v>268</v>
      </c>
      <c r="O283" s="6" t="s">
        <v>26</v>
      </c>
    </row>
    <row r="284" spans="1:15" x14ac:dyDescent="0.35">
      <c r="A284" t="s">
        <v>632</v>
      </c>
      <c r="B284" s="1" t="s">
        <v>362</v>
      </c>
      <c r="C284" s="1" t="s">
        <v>169</v>
      </c>
      <c r="D284" s="1" t="s">
        <v>3</v>
      </c>
      <c r="E284" s="1" t="s">
        <v>21</v>
      </c>
      <c r="F284" s="1" t="s">
        <v>22</v>
      </c>
      <c r="G284" s="1" t="s">
        <v>23</v>
      </c>
      <c r="H284" s="1">
        <v>28</v>
      </c>
      <c r="I284" s="1" t="str">
        <f t="shared" si="4"/>
        <v>18-30</v>
      </c>
      <c r="J284" s="3">
        <v>42911</v>
      </c>
      <c r="K284" s="4">
        <v>54775</v>
      </c>
      <c r="L284" s="5">
        <v>0.15</v>
      </c>
      <c r="M284" s="1" t="s">
        <v>24</v>
      </c>
      <c r="N284" s="1" t="s">
        <v>197</v>
      </c>
      <c r="O284" s="6" t="s">
        <v>26</v>
      </c>
    </row>
    <row r="285" spans="1:15" x14ac:dyDescent="0.35">
      <c r="A285" t="s">
        <v>633</v>
      </c>
      <c r="B285" s="1" t="s">
        <v>364</v>
      </c>
      <c r="C285" s="1" t="s">
        <v>29</v>
      </c>
      <c r="D285" s="1" t="s">
        <v>187</v>
      </c>
      <c r="E285" s="1" t="s">
        <v>73</v>
      </c>
      <c r="F285" s="1" t="s">
        <v>35</v>
      </c>
      <c r="G285" s="1" t="s">
        <v>23</v>
      </c>
      <c r="H285" s="1">
        <v>29</v>
      </c>
      <c r="I285" s="1" t="str">
        <f t="shared" si="4"/>
        <v>18-30</v>
      </c>
      <c r="J285" s="3">
        <v>42914</v>
      </c>
      <c r="K285" s="4">
        <v>197649</v>
      </c>
      <c r="L285" s="5">
        <v>0.15</v>
      </c>
      <c r="M285" s="1" t="s">
        <v>24</v>
      </c>
      <c r="N285" s="1" t="s">
        <v>367</v>
      </c>
      <c r="O285" s="6" t="s">
        <v>26</v>
      </c>
    </row>
    <row r="286" spans="1:15" x14ac:dyDescent="0.35">
      <c r="A286" t="s">
        <v>634</v>
      </c>
      <c r="B286" s="1" t="s">
        <v>366</v>
      </c>
      <c r="C286" s="1" t="s">
        <v>183</v>
      </c>
      <c r="D286" s="1" t="s">
        <v>3</v>
      </c>
      <c r="E286" s="1" t="s">
        <v>21</v>
      </c>
      <c r="F286" s="1" t="s">
        <v>22</v>
      </c>
      <c r="G286" s="1" t="s">
        <v>23</v>
      </c>
      <c r="H286" s="1">
        <v>37</v>
      </c>
      <c r="I286" s="1" t="str">
        <f t="shared" si="4"/>
        <v>31-45</v>
      </c>
      <c r="J286" s="3">
        <v>42922</v>
      </c>
      <c r="K286" s="4">
        <v>96331</v>
      </c>
      <c r="L286" s="5">
        <v>0.09</v>
      </c>
      <c r="M286" s="1" t="s">
        <v>46</v>
      </c>
      <c r="N286" s="1" t="s">
        <v>370</v>
      </c>
      <c r="O286" s="6" t="s">
        <v>26</v>
      </c>
    </row>
    <row r="287" spans="1:15" x14ac:dyDescent="0.35">
      <c r="A287" t="s">
        <v>635</v>
      </c>
      <c r="B287" s="1" t="s">
        <v>369</v>
      </c>
      <c r="C287" s="1" t="s">
        <v>45</v>
      </c>
      <c r="D287" s="1" t="s">
        <v>61</v>
      </c>
      <c r="E287" s="1" t="s">
        <v>73</v>
      </c>
      <c r="F287" s="1" t="s">
        <v>35</v>
      </c>
      <c r="G287" s="1" t="s">
        <v>23</v>
      </c>
      <c r="H287" s="1">
        <v>47</v>
      </c>
      <c r="I287" s="1" t="str">
        <f t="shared" si="4"/>
        <v>46-60</v>
      </c>
      <c r="J287" s="3">
        <v>42928</v>
      </c>
      <c r="K287" s="4">
        <v>70996</v>
      </c>
      <c r="L287" s="5">
        <v>0.12</v>
      </c>
      <c r="M287" s="1" t="s">
        <v>46</v>
      </c>
      <c r="N287" s="1" t="s">
        <v>373</v>
      </c>
      <c r="O287" s="6" t="s">
        <v>26</v>
      </c>
    </row>
    <row r="288" spans="1:15" x14ac:dyDescent="0.35">
      <c r="A288" t="s">
        <v>636</v>
      </c>
      <c r="B288" s="1" t="s">
        <v>372</v>
      </c>
      <c r="C288" s="1" t="s">
        <v>162</v>
      </c>
      <c r="D288" s="1" t="s">
        <v>1</v>
      </c>
      <c r="E288" s="1" t="s">
        <v>41</v>
      </c>
      <c r="F288" s="1" t="s">
        <v>22</v>
      </c>
      <c r="G288" s="1" t="s">
        <v>23</v>
      </c>
      <c r="H288" s="1">
        <v>31</v>
      </c>
      <c r="I288" s="1" t="str">
        <f t="shared" si="4"/>
        <v>31-45</v>
      </c>
      <c r="J288" s="3">
        <v>42938</v>
      </c>
      <c r="K288" s="4">
        <v>55854</v>
      </c>
      <c r="L288" s="5">
        <v>0.12</v>
      </c>
      <c r="M288" s="1" t="s">
        <v>36</v>
      </c>
      <c r="N288" s="1" t="s">
        <v>376</v>
      </c>
      <c r="O288" s="6" t="s">
        <v>26</v>
      </c>
    </row>
    <row r="289" spans="1:15" x14ac:dyDescent="0.35">
      <c r="A289" t="s">
        <v>637</v>
      </c>
      <c r="B289" s="1" t="s">
        <v>375</v>
      </c>
      <c r="C289" s="1" t="s">
        <v>110</v>
      </c>
      <c r="D289" s="1" t="s">
        <v>61</v>
      </c>
      <c r="E289" s="1" t="s">
        <v>30</v>
      </c>
      <c r="F289" s="1" t="s">
        <v>22</v>
      </c>
      <c r="G289" s="1" t="s">
        <v>23</v>
      </c>
      <c r="H289" s="1">
        <v>57</v>
      </c>
      <c r="I289" s="1" t="str">
        <f t="shared" si="4"/>
        <v>46-60</v>
      </c>
      <c r="J289" s="3">
        <v>42951</v>
      </c>
      <c r="K289" s="4">
        <v>183190</v>
      </c>
      <c r="L289" s="5">
        <v>0.09</v>
      </c>
      <c r="M289" s="1" t="s">
        <v>24</v>
      </c>
      <c r="N289" s="1" t="s">
        <v>379</v>
      </c>
      <c r="O289" s="6" t="s">
        <v>26</v>
      </c>
    </row>
    <row r="290" spans="1:15" x14ac:dyDescent="0.35">
      <c r="A290" t="s">
        <v>638</v>
      </c>
      <c r="B290" s="1" t="s">
        <v>277</v>
      </c>
      <c r="C290" s="1" t="s">
        <v>29</v>
      </c>
      <c r="D290" s="1" t="s">
        <v>187</v>
      </c>
      <c r="E290" s="1" t="s">
        <v>73</v>
      </c>
      <c r="F290" s="1" t="s">
        <v>22</v>
      </c>
      <c r="G290" s="1" t="s">
        <v>23</v>
      </c>
      <c r="H290" s="1">
        <v>35</v>
      </c>
      <c r="I290" s="1" t="str">
        <f t="shared" si="4"/>
        <v>31-45</v>
      </c>
      <c r="J290" s="3">
        <v>42963</v>
      </c>
      <c r="K290" s="4">
        <v>181356</v>
      </c>
      <c r="L290" s="5">
        <v>0.16</v>
      </c>
      <c r="M290" s="1" t="s">
        <v>24</v>
      </c>
      <c r="N290" s="1" t="s">
        <v>281</v>
      </c>
      <c r="O290" s="6" t="s">
        <v>26</v>
      </c>
    </row>
    <row r="291" spans="1:15" x14ac:dyDescent="0.35">
      <c r="A291" t="s">
        <v>639</v>
      </c>
      <c r="B291" s="1" t="s">
        <v>640</v>
      </c>
      <c r="C291" s="1" t="s">
        <v>102</v>
      </c>
      <c r="D291" s="1" t="s">
        <v>56</v>
      </c>
      <c r="E291" s="1" t="s">
        <v>21</v>
      </c>
      <c r="F291" s="1" t="s">
        <v>35</v>
      </c>
      <c r="G291" s="1" t="s">
        <v>23</v>
      </c>
      <c r="H291" s="1">
        <v>52</v>
      </c>
      <c r="I291" s="1" t="str">
        <f t="shared" si="4"/>
        <v>46-60</v>
      </c>
      <c r="J291" s="3">
        <v>42983</v>
      </c>
      <c r="K291" s="4">
        <v>140042</v>
      </c>
      <c r="L291" s="5">
        <v>0.06</v>
      </c>
      <c r="M291" s="1" t="s">
        <v>36</v>
      </c>
      <c r="N291" s="1" t="s">
        <v>383</v>
      </c>
      <c r="O291" s="6" t="s">
        <v>26</v>
      </c>
    </row>
    <row r="292" spans="1:15" x14ac:dyDescent="0.35">
      <c r="A292" t="s">
        <v>641</v>
      </c>
      <c r="B292" s="1" t="s">
        <v>642</v>
      </c>
      <c r="C292" s="1" t="s">
        <v>106</v>
      </c>
      <c r="D292" s="1" t="s">
        <v>56</v>
      </c>
      <c r="E292" s="1" t="s">
        <v>73</v>
      </c>
      <c r="F292" s="1" t="s">
        <v>35</v>
      </c>
      <c r="G292" s="1" t="s">
        <v>23</v>
      </c>
      <c r="H292" s="1">
        <v>53</v>
      </c>
      <c r="I292" s="1" t="str">
        <f t="shared" si="4"/>
        <v>46-60</v>
      </c>
      <c r="J292" s="3">
        <v>42985</v>
      </c>
      <c r="K292" s="4">
        <v>46727</v>
      </c>
      <c r="L292" s="5">
        <v>0.14000000000000001</v>
      </c>
      <c r="M292" s="1" t="s">
        <v>24</v>
      </c>
      <c r="N292" s="1" t="s">
        <v>173</v>
      </c>
      <c r="O292" s="6">
        <v>43251</v>
      </c>
    </row>
    <row r="293" spans="1:15" x14ac:dyDescent="0.35">
      <c r="A293" t="s">
        <v>643</v>
      </c>
      <c r="B293" s="1" t="s">
        <v>644</v>
      </c>
      <c r="C293" s="1" t="s">
        <v>144</v>
      </c>
      <c r="D293" s="1" t="s">
        <v>80</v>
      </c>
      <c r="E293" s="1" t="s">
        <v>30</v>
      </c>
      <c r="F293" s="1" t="s">
        <v>22</v>
      </c>
      <c r="G293" s="1" t="s">
        <v>23</v>
      </c>
      <c r="H293" s="1">
        <v>52</v>
      </c>
      <c r="I293" s="1" t="str">
        <f t="shared" si="4"/>
        <v>46-60</v>
      </c>
      <c r="J293" s="3">
        <v>42992</v>
      </c>
      <c r="K293" s="4">
        <v>74449</v>
      </c>
      <c r="L293" s="5">
        <v>0.1</v>
      </c>
      <c r="M293" s="1" t="s">
        <v>46</v>
      </c>
      <c r="N293" s="1" t="s">
        <v>131</v>
      </c>
      <c r="O293" s="6" t="s">
        <v>26</v>
      </c>
    </row>
    <row r="294" spans="1:15" x14ac:dyDescent="0.35">
      <c r="A294" t="s">
        <v>645</v>
      </c>
      <c r="B294" s="1" t="s">
        <v>646</v>
      </c>
      <c r="C294" s="1" t="s">
        <v>342</v>
      </c>
      <c r="D294" s="1" t="s">
        <v>56</v>
      </c>
      <c r="E294" s="1" t="s">
        <v>30</v>
      </c>
      <c r="F294" s="1" t="s">
        <v>22</v>
      </c>
      <c r="G294" s="1" t="s">
        <v>23</v>
      </c>
      <c r="H294" s="1">
        <v>31</v>
      </c>
      <c r="I294" s="1" t="str">
        <f t="shared" si="4"/>
        <v>31-45</v>
      </c>
      <c r="J294" s="3">
        <v>43002</v>
      </c>
      <c r="K294" s="4">
        <v>71755</v>
      </c>
      <c r="L294" s="5">
        <v>0.14000000000000001</v>
      </c>
      <c r="M294" s="1" t="s">
        <v>24</v>
      </c>
      <c r="N294" s="1" t="s">
        <v>388</v>
      </c>
      <c r="O294" s="6" t="s">
        <v>26</v>
      </c>
    </row>
    <row r="295" spans="1:15" x14ac:dyDescent="0.35">
      <c r="A295" t="s">
        <v>647</v>
      </c>
      <c r="B295" s="1" t="s">
        <v>387</v>
      </c>
      <c r="C295" s="1" t="s">
        <v>162</v>
      </c>
      <c r="D295" s="1" t="s">
        <v>1</v>
      </c>
      <c r="E295" s="1" t="s">
        <v>41</v>
      </c>
      <c r="F295" s="1" t="s">
        <v>35</v>
      </c>
      <c r="G295" s="1" t="s">
        <v>23</v>
      </c>
      <c r="H295" s="1">
        <v>63</v>
      </c>
      <c r="I295" s="1" t="str">
        <f t="shared" si="4"/>
        <v>&gt;60</v>
      </c>
      <c r="J295" s="3">
        <v>43004</v>
      </c>
      <c r="K295" s="4">
        <v>72340</v>
      </c>
      <c r="L295" s="5">
        <v>0.08</v>
      </c>
      <c r="M295" s="1" t="s">
        <v>36</v>
      </c>
      <c r="N295" s="1" t="s">
        <v>391</v>
      </c>
      <c r="O295" s="6">
        <v>43558</v>
      </c>
    </row>
    <row r="296" spans="1:15" x14ac:dyDescent="0.35">
      <c r="A296" t="s">
        <v>648</v>
      </c>
      <c r="B296" s="1" t="s">
        <v>390</v>
      </c>
      <c r="C296" s="1" t="s">
        <v>65</v>
      </c>
      <c r="D296" s="1" t="s">
        <v>3</v>
      </c>
      <c r="E296" s="1" t="s">
        <v>41</v>
      </c>
      <c r="F296" s="1" t="s">
        <v>35</v>
      </c>
      <c r="G296" s="1" t="s">
        <v>23</v>
      </c>
      <c r="H296" s="1">
        <v>33</v>
      </c>
      <c r="I296" s="1" t="str">
        <f t="shared" si="4"/>
        <v>31-45</v>
      </c>
      <c r="J296" s="3">
        <v>43029</v>
      </c>
      <c r="K296" s="4">
        <v>69332</v>
      </c>
      <c r="L296" s="5">
        <v>0.05</v>
      </c>
      <c r="M296" s="1" t="s">
        <v>24</v>
      </c>
      <c r="N296" s="1" t="s">
        <v>394</v>
      </c>
      <c r="O296" s="6" t="s">
        <v>26</v>
      </c>
    </row>
    <row r="297" spans="1:15" x14ac:dyDescent="0.35">
      <c r="A297" t="s">
        <v>649</v>
      </c>
      <c r="B297" s="1" t="s">
        <v>393</v>
      </c>
      <c r="C297" s="1" t="s">
        <v>45</v>
      </c>
      <c r="D297" s="1" t="s">
        <v>187</v>
      </c>
      <c r="E297" s="1" t="s">
        <v>73</v>
      </c>
      <c r="F297" s="1" t="s">
        <v>22</v>
      </c>
      <c r="G297" s="1" t="s">
        <v>23</v>
      </c>
      <c r="H297" s="1">
        <v>31</v>
      </c>
      <c r="I297" s="1" t="str">
        <f t="shared" si="4"/>
        <v>31-45</v>
      </c>
      <c r="J297" s="3">
        <v>43043</v>
      </c>
      <c r="K297" s="4">
        <v>97078</v>
      </c>
      <c r="L297" s="5">
        <v>0.08</v>
      </c>
      <c r="M297" s="1" t="s">
        <v>251</v>
      </c>
      <c r="N297" s="1" t="s">
        <v>397</v>
      </c>
      <c r="O297" s="6">
        <v>43899</v>
      </c>
    </row>
    <row r="298" spans="1:15" x14ac:dyDescent="0.35">
      <c r="A298" t="s">
        <v>650</v>
      </c>
      <c r="B298" s="1" t="s">
        <v>396</v>
      </c>
      <c r="C298" s="1" t="s">
        <v>179</v>
      </c>
      <c r="D298" s="1" t="s">
        <v>3</v>
      </c>
      <c r="E298" s="1" t="s">
        <v>30</v>
      </c>
      <c r="F298" s="1" t="s">
        <v>35</v>
      </c>
      <c r="G298" s="1" t="s">
        <v>23</v>
      </c>
      <c r="H298" s="1">
        <v>29</v>
      </c>
      <c r="I298" s="1" t="str">
        <f t="shared" si="4"/>
        <v>18-30</v>
      </c>
      <c r="J298" s="3">
        <v>43048</v>
      </c>
      <c r="K298" s="4">
        <v>63985</v>
      </c>
      <c r="L298" s="5">
        <v>0.16</v>
      </c>
      <c r="M298" s="1" t="s">
        <v>24</v>
      </c>
      <c r="N298" s="1" t="s">
        <v>400</v>
      </c>
      <c r="O298" s="6" t="s">
        <v>26</v>
      </c>
    </row>
    <row r="299" spans="1:15" x14ac:dyDescent="0.35">
      <c r="A299" t="s">
        <v>651</v>
      </c>
      <c r="B299" s="1" t="s">
        <v>399</v>
      </c>
      <c r="C299" s="1" t="s">
        <v>19</v>
      </c>
      <c r="D299" s="1" t="s">
        <v>20</v>
      </c>
      <c r="E299" s="1" t="s">
        <v>73</v>
      </c>
      <c r="F299" s="1" t="s">
        <v>22</v>
      </c>
      <c r="G299" s="1" t="s">
        <v>23</v>
      </c>
      <c r="H299" s="1">
        <v>34</v>
      </c>
      <c r="I299" s="1" t="str">
        <f t="shared" si="4"/>
        <v>31-45</v>
      </c>
      <c r="J299" s="3">
        <v>43055</v>
      </c>
      <c r="K299" s="4">
        <v>110054</v>
      </c>
      <c r="L299" s="5">
        <v>0.11</v>
      </c>
      <c r="M299" s="1" t="s">
        <v>403</v>
      </c>
      <c r="N299" s="1" t="s">
        <v>404</v>
      </c>
      <c r="O299" s="6" t="s">
        <v>26</v>
      </c>
    </row>
    <row r="300" spans="1:15" x14ac:dyDescent="0.35">
      <c r="A300" t="s">
        <v>652</v>
      </c>
      <c r="B300" s="1" t="s">
        <v>402</v>
      </c>
      <c r="C300" s="1" t="s">
        <v>102</v>
      </c>
      <c r="D300" s="1" t="s">
        <v>56</v>
      </c>
      <c r="E300" s="1" t="s">
        <v>41</v>
      </c>
      <c r="F300" s="1" t="s">
        <v>22</v>
      </c>
      <c r="G300" s="1" t="s">
        <v>23</v>
      </c>
      <c r="H300" s="1">
        <v>62</v>
      </c>
      <c r="I300" s="1" t="str">
        <f t="shared" si="4"/>
        <v>&gt;60</v>
      </c>
      <c r="J300" s="3">
        <v>43061</v>
      </c>
      <c r="K300" s="4">
        <v>138808</v>
      </c>
      <c r="L300" s="5">
        <v>0.06</v>
      </c>
      <c r="M300" s="1" t="s">
        <v>24</v>
      </c>
      <c r="N300" s="1" t="s">
        <v>407</v>
      </c>
      <c r="O300" s="6" t="s">
        <v>26</v>
      </c>
    </row>
    <row r="301" spans="1:15" x14ac:dyDescent="0.35">
      <c r="A301" t="s">
        <v>653</v>
      </c>
      <c r="B301" s="1" t="s">
        <v>406</v>
      </c>
      <c r="C301" s="1" t="s">
        <v>102</v>
      </c>
      <c r="D301" s="1" t="s">
        <v>3</v>
      </c>
      <c r="E301" s="1" t="s">
        <v>41</v>
      </c>
      <c r="F301" s="1" t="s">
        <v>22</v>
      </c>
      <c r="G301" s="1" t="s">
        <v>23</v>
      </c>
      <c r="H301" s="1">
        <v>46</v>
      </c>
      <c r="I301" s="1" t="str">
        <f t="shared" si="4"/>
        <v>46-60</v>
      </c>
      <c r="J301" s="3">
        <v>43085</v>
      </c>
      <c r="K301" s="4">
        <v>136716</v>
      </c>
      <c r="L301" s="5">
        <v>0.14000000000000001</v>
      </c>
      <c r="M301" s="1" t="s">
        <v>46</v>
      </c>
      <c r="N301" s="1" t="s">
        <v>410</v>
      </c>
      <c r="O301" s="6" t="s">
        <v>26</v>
      </c>
    </row>
    <row r="302" spans="1:15" x14ac:dyDescent="0.35">
      <c r="A302" t="s">
        <v>654</v>
      </c>
      <c r="B302" s="1" t="s">
        <v>409</v>
      </c>
      <c r="C302" s="1" t="s">
        <v>29</v>
      </c>
      <c r="D302" s="1" t="s">
        <v>3</v>
      </c>
      <c r="E302" s="1" t="s">
        <v>41</v>
      </c>
      <c r="F302" s="1" t="s">
        <v>35</v>
      </c>
      <c r="G302" s="1" t="s">
        <v>23</v>
      </c>
      <c r="H302" s="1">
        <v>27</v>
      </c>
      <c r="I302" s="1" t="str">
        <f t="shared" si="4"/>
        <v>18-30</v>
      </c>
      <c r="J302" s="3">
        <v>43103</v>
      </c>
      <c r="K302" s="4">
        <v>167100</v>
      </c>
      <c r="L302" s="5">
        <v>0.16</v>
      </c>
      <c r="M302" s="1" t="s">
        <v>24</v>
      </c>
      <c r="N302" s="1" t="s">
        <v>197</v>
      </c>
      <c r="O302" s="6" t="s">
        <v>26</v>
      </c>
    </row>
    <row r="303" spans="1:15" x14ac:dyDescent="0.35">
      <c r="A303" t="s">
        <v>655</v>
      </c>
      <c r="B303" s="1" t="s">
        <v>412</v>
      </c>
      <c r="C303" s="1" t="s">
        <v>19</v>
      </c>
      <c r="D303" s="1" t="s">
        <v>20</v>
      </c>
      <c r="E303" s="1" t="s">
        <v>21</v>
      </c>
      <c r="F303" s="1" t="s">
        <v>22</v>
      </c>
      <c r="G303" s="1" t="s">
        <v>23</v>
      </c>
      <c r="H303" s="1">
        <v>60</v>
      </c>
      <c r="I303" s="1" t="str">
        <f t="shared" si="4"/>
        <v>&gt;60</v>
      </c>
      <c r="J303" s="3">
        <v>43146</v>
      </c>
      <c r="K303" s="4">
        <v>106079</v>
      </c>
      <c r="L303" s="5">
        <v>0.05</v>
      </c>
      <c r="M303" s="1" t="s">
        <v>24</v>
      </c>
      <c r="N303" s="1" t="s">
        <v>415</v>
      </c>
      <c r="O303" s="6">
        <v>44295</v>
      </c>
    </row>
    <row r="304" spans="1:15" x14ac:dyDescent="0.35">
      <c r="A304" t="s">
        <v>656</v>
      </c>
      <c r="B304" s="1" t="s">
        <v>414</v>
      </c>
      <c r="C304" s="1" t="s">
        <v>60</v>
      </c>
      <c r="D304" s="1" t="s">
        <v>187</v>
      </c>
      <c r="E304" s="1" t="s">
        <v>73</v>
      </c>
      <c r="F304" s="1" t="s">
        <v>22</v>
      </c>
      <c r="G304" s="1" t="s">
        <v>23</v>
      </c>
      <c r="H304" s="1">
        <v>40</v>
      </c>
      <c r="I304" s="1" t="str">
        <f t="shared" si="4"/>
        <v>31-45</v>
      </c>
      <c r="J304" s="3">
        <v>43147</v>
      </c>
      <c r="K304" s="4">
        <v>120905</v>
      </c>
      <c r="L304" s="5">
        <v>0.15</v>
      </c>
      <c r="M304" s="1" t="s">
        <v>46</v>
      </c>
      <c r="N304" s="1" t="s">
        <v>418</v>
      </c>
      <c r="O304" s="6" t="s">
        <v>26</v>
      </c>
    </row>
    <row r="305" spans="1:15" x14ac:dyDescent="0.35">
      <c r="A305" t="s">
        <v>657</v>
      </c>
      <c r="B305" s="1" t="s">
        <v>417</v>
      </c>
      <c r="C305" s="1" t="s">
        <v>658</v>
      </c>
      <c r="D305" s="1" t="s">
        <v>20</v>
      </c>
      <c r="E305" s="1" t="s">
        <v>41</v>
      </c>
      <c r="F305" s="1" t="s">
        <v>22</v>
      </c>
      <c r="G305" s="1" t="s">
        <v>23</v>
      </c>
      <c r="H305" s="1">
        <v>57</v>
      </c>
      <c r="I305" s="1" t="str">
        <f t="shared" si="4"/>
        <v>46-60</v>
      </c>
      <c r="J305" s="3">
        <v>43157</v>
      </c>
      <c r="K305" s="4">
        <v>103183</v>
      </c>
      <c r="L305" s="5">
        <v>0.17</v>
      </c>
      <c r="M305" s="1" t="s">
        <v>24</v>
      </c>
      <c r="N305" s="1" t="s">
        <v>421</v>
      </c>
      <c r="O305" s="6">
        <v>44386</v>
      </c>
    </row>
    <row r="306" spans="1:15" x14ac:dyDescent="0.35">
      <c r="A306" t="s">
        <v>659</v>
      </c>
      <c r="B306" s="1" t="s">
        <v>420</v>
      </c>
      <c r="C306" s="1" t="s">
        <v>144</v>
      </c>
      <c r="D306" s="1" t="s">
        <v>1</v>
      </c>
      <c r="E306" s="1" t="s">
        <v>21</v>
      </c>
      <c r="F306" s="1" t="s">
        <v>22</v>
      </c>
      <c r="G306" s="1" t="s">
        <v>23</v>
      </c>
      <c r="H306" s="1">
        <v>34</v>
      </c>
      <c r="I306" s="1" t="str">
        <f t="shared" si="4"/>
        <v>31-45</v>
      </c>
      <c r="J306" s="3">
        <v>43169</v>
      </c>
      <c r="K306" s="4">
        <v>58993</v>
      </c>
      <c r="L306" s="5">
        <v>0.12</v>
      </c>
      <c r="M306" s="1" t="s">
        <v>24</v>
      </c>
      <c r="N306" s="1" t="s">
        <v>388</v>
      </c>
      <c r="O306" s="6" t="s">
        <v>26</v>
      </c>
    </row>
    <row r="307" spans="1:15" x14ac:dyDescent="0.35">
      <c r="A307" t="s">
        <v>660</v>
      </c>
      <c r="B307" s="1" t="s">
        <v>423</v>
      </c>
      <c r="C307" s="1" t="s">
        <v>45</v>
      </c>
      <c r="D307" s="1" t="s">
        <v>1</v>
      </c>
      <c r="E307" s="1" t="s">
        <v>73</v>
      </c>
      <c r="F307" s="1" t="s">
        <v>22</v>
      </c>
      <c r="G307" s="1" t="s">
        <v>23</v>
      </c>
      <c r="H307" s="1">
        <v>63</v>
      </c>
      <c r="I307" s="1" t="str">
        <f t="shared" si="4"/>
        <v>&gt;60</v>
      </c>
      <c r="J307" s="3">
        <v>43171</v>
      </c>
      <c r="K307" s="4">
        <v>73200</v>
      </c>
      <c r="L307" s="5">
        <v>0.17</v>
      </c>
      <c r="M307" s="1" t="s">
        <v>46</v>
      </c>
      <c r="N307" s="1" t="s">
        <v>426</v>
      </c>
      <c r="O307" s="6" t="s">
        <v>26</v>
      </c>
    </row>
    <row r="308" spans="1:15" x14ac:dyDescent="0.35">
      <c r="A308" t="s">
        <v>661</v>
      </c>
      <c r="B308" s="1" t="s">
        <v>328</v>
      </c>
      <c r="C308" s="1" t="s">
        <v>106</v>
      </c>
      <c r="D308" s="1" t="s">
        <v>56</v>
      </c>
      <c r="E308" s="1" t="s">
        <v>73</v>
      </c>
      <c r="F308" s="1" t="s">
        <v>35</v>
      </c>
      <c r="G308" s="1" t="s">
        <v>23</v>
      </c>
      <c r="H308" s="1">
        <v>31</v>
      </c>
      <c r="I308" s="1" t="str">
        <f t="shared" si="4"/>
        <v>31-45</v>
      </c>
      <c r="J308" s="3">
        <v>43171</v>
      </c>
      <c r="K308" s="4">
        <v>47913</v>
      </c>
      <c r="L308" s="5">
        <v>0.06</v>
      </c>
      <c r="M308" s="1" t="s">
        <v>24</v>
      </c>
      <c r="N308" s="1" t="s">
        <v>429</v>
      </c>
      <c r="O308" s="6" t="s">
        <v>26</v>
      </c>
    </row>
    <row r="309" spans="1:15" x14ac:dyDescent="0.35">
      <c r="A309" t="s">
        <v>662</v>
      </c>
      <c r="B309" s="1" t="s">
        <v>663</v>
      </c>
      <c r="C309" s="1" t="s">
        <v>162</v>
      </c>
      <c r="D309" s="1" t="s">
        <v>1</v>
      </c>
      <c r="E309" s="1" t="s">
        <v>21</v>
      </c>
      <c r="F309" s="1" t="s">
        <v>35</v>
      </c>
      <c r="G309" s="1" t="s">
        <v>23</v>
      </c>
      <c r="H309" s="1">
        <v>40</v>
      </c>
      <c r="I309" s="1" t="str">
        <f t="shared" si="4"/>
        <v>31-45</v>
      </c>
      <c r="J309" s="3">
        <v>43175</v>
      </c>
      <c r="K309" s="4">
        <v>55457</v>
      </c>
      <c r="L309" s="5">
        <v>7.0000000000000007E-2</v>
      </c>
      <c r="M309" s="1" t="s">
        <v>36</v>
      </c>
      <c r="N309" s="1" t="s">
        <v>432</v>
      </c>
      <c r="O309" s="6" t="s">
        <v>26</v>
      </c>
    </row>
    <row r="310" spans="1:15" x14ac:dyDescent="0.35">
      <c r="A310" t="s">
        <v>664</v>
      </c>
      <c r="B310" s="1" t="s">
        <v>665</v>
      </c>
      <c r="C310" s="1" t="s">
        <v>102</v>
      </c>
      <c r="D310" s="1" t="s">
        <v>80</v>
      </c>
      <c r="E310" s="1" t="s">
        <v>73</v>
      </c>
      <c r="F310" s="1" t="s">
        <v>35</v>
      </c>
      <c r="G310" s="1" t="s">
        <v>23</v>
      </c>
      <c r="H310" s="1">
        <v>33</v>
      </c>
      <c r="I310" s="1" t="str">
        <f t="shared" si="4"/>
        <v>31-45</v>
      </c>
      <c r="J310" s="3">
        <v>43211</v>
      </c>
      <c r="K310" s="4">
        <v>140402</v>
      </c>
      <c r="L310" s="5">
        <v>0.06</v>
      </c>
      <c r="M310" s="1" t="s">
        <v>24</v>
      </c>
      <c r="N310" s="1" t="s">
        <v>435</v>
      </c>
      <c r="O310" s="6" t="s">
        <v>26</v>
      </c>
    </row>
    <row r="311" spans="1:15" x14ac:dyDescent="0.35">
      <c r="A311" t="s">
        <v>666</v>
      </c>
      <c r="B311" s="1" t="s">
        <v>667</v>
      </c>
      <c r="C311" s="1" t="s">
        <v>130</v>
      </c>
      <c r="D311" s="1" t="s">
        <v>20</v>
      </c>
      <c r="E311" s="1" t="s">
        <v>21</v>
      </c>
      <c r="F311" s="1" t="s">
        <v>22</v>
      </c>
      <c r="G311" s="1" t="s">
        <v>23</v>
      </c>
      <c r="H311" s="1">
        <v>55</v>
      </c>
      <c r="I311" s="1" t="str">
        <f t="shared" si="4"/>
        <v>46-60</v>
      </c>
      <c r="J311" s="3">
        <v>43219</v>
      </c>
      <c r="K311" s="4">
        <v>83378</v>
      </c>
      <c r="L311" s="5">
        <v>0.15</v>
      </c>
      <c r="M311" s="1" t="s">
        <v>304</v>
      </c>
      <c r="N311" s="1" t="s">
        <v>305</v>
      </c>
      <c r="O311" s="6" t="s">
        <v>26</v>
      </c>
    </row>
    <row r="312" spans="1:15" x14ac:dyDescent="0.35">
      <c r="A312" t="s">
        <v>668</v>
      </c>
      <c r="B312" s="1" t="s">
        <v>669</v>
      </c>
      <c r="C312" s="1" t="s">
        <v>137</v>
      </c>
      <c r="D312" s="1" t="s">
        <v>3</v>
      </c>
      <c r="E312" s="1" t="s">
        <v>21</v>
      </c>
      <c r="F312" s="1" t="s">
        <v>22</v>
      </c>
      <c r="G312" s="1" t="s">
        <v>23</v>
      </c>
      <c r="H312" s="1">
        <v>43</v>
      </c>
      <c r="I312" s="1" t="str">
        <f t="shared" si="4"/>
        <v>31-45</v>
      </c>
      <c r="J312" s="3">
        <v>43224</v>
      </c>
      <c r="K312" s="4">
        <v>59888</v>
      </c>
      <c r="L312" s="5">
        <v>0.09</v>
      </c>
      <c r="M312" s="1" t="s">
        <v>24</v>
      </c>
      <c r="N312" s="1" t="s">
        <v>440</v>
      </c>
      <c r="O312" s="6" t="s">
        <v>26</v>
      </c>
    </row>
    <row r="313" spans="1:15" x14ac:dyDescent="0.35">
      <c r="A313" t="s">
        <v>670</v>
      </c>
      <c r="B313" s="1" t="s">
        <v>344</v>
      </c>
      <c r="C313" s="1" t="s">
        <v>540</v>
      </c>
      <c r="D313" s="1" t="s">
        <v>20</v>
      </c>
      <c r="E313" s="1" t="s">
        <v>21</v>
      </c>
      <c r="F313" s="1" t="s">
        <v>35</v>
      </c>
      <c r="G313" s="1" t="s">
        <v>23</v>
      </c>
      <c r="H313" s="1">
        <v>63</v>
      </c>
      <c r="I313" s="1" t="str">
        <f t="shared" si="4"/>
        <v>&gt;60</v>
      </c>
      <c r="J313" s="3">
        <v>43227</v>
      </c>
      <c r="K313" s="4">
        <v>67987</v>
      </c>
      <c r="L313" s="5">
        <v>0.16</v>
      </c>
      <c r="M313" s="1" t="s">
        <v>46</v>
      </c>
      <c r="N313" s="1" t="s">
        <v>443</v>
      </c>
      <c r="O313" s="6" t="s">
        <v>26</v>
      </c>
    </row>
    <row r="314" spans="1:15" x14ac:dyDescent="0.35">
      <c r="A314" t="s">
        <v>671</v>
      </c>
      <c r="B314" s="1" t="s">
        <v>672</v>
      </c>
      <c r="C314" s="1" t="s">
        <v>60</v>
      </c>
      <c r="D314" s="1" t="s">
        <v>80</v>
      </c>
      <c r="E314" s="1" t="s">
        <v>41</v>
      </c>
      <c r="F314" s="1" t="s">
        <v>22</v>
      </c>
      <c r="G314" s="1" t="s">
        <v>23</v>
      </c>
      <c r="H314" s="1">
        <v>50</v>
      </c>
      <c r="I314" s="1" t="str">
        <f t="shared" si="4"/>
        <v>46-60</v>
      </c>
      <c r="J314" s="3">
        <v>43239</v>
      </c>
      <c r="K314" s="4">
        <v>106437</v>
      </c>
      <c r="L314" s="5">
        <v>0.15</v>
      </c>
      <c r="M314" s="1" t="s">
        <v>24</v>
      </c>
      <c r="N314" s="1" t="s">
        <v>447</v>
      </c>
      <c r="O314" s="6" t="s">
        <v>26</v>
      </c>
    </row>
    <row r="315" spans="1:15" x14ac:dyDescent="0.35">
      <c r="A315" t="s">
        <v>673</v>
      </c>
      <c r="B315" s="1" t="s">
        <v>674</v>
      </c>
      <c r="C315" s="1" t="s">
        <v>60</v>
      </c>
      <c r="D315" s="1" t="s">
        <v>61</v>
      </c>
      <c r="E315" s="1" t="s">
        <v>73</v>
      </c>
      <c r="F315" s="1" t="s">
        <v>22</v>
      </c>
      <c r="G315" s="1" t="s">
        <v>23</v>
      </c>
      <c r="H315" s="1">
        <v>49</v>
      </c>
      <c r="I315" s="1" t="str">
        <f t="shared" si="4"/>
        <v>46-60</v>
      </c>
      <c r="J315" s="3">
        <v>43240</v>
      </c>
      <c r="K315" s="4">
        <v>119397</v>
      </c>
      <c r="L315" s="5">
        <v>0.13</v>
      </c>
      <c r="M315" s="1" t="s">
        <v>24</v>
      </c>
      <c r="N315" s="1" t="s">
        <v>450</v>
      </c>
      <c r="O315" s="6">
        <v>43538</v>
      </c>
    </row>
    <row r="316" spans="1:15" x14ac:dyDescent="0.35">
      <c r="A316" t="s">
        <v>675</v>
      </c>
      <c r="B316" s="1" t="s">
        <v>676</v>
      </c>
      <c r="C316" s="1" t="s">
        <v>102</v>
      </c>
      <c r="D316" s="1" t="s">
        <v>61</v>
      </c>
      <c r="E316" s="1" t="s">
        <v>73</v>
      </c>
      <c r="F316" s="1" t="s">
        <v>22</v>
      </c>
      <c r="G316" s="1" t="s">
        <v>23</v>
      </c>
      <c r="H316" s="1">
        <v>52</v>
      </c>
      <c r="I316" s="1" t="str">
        <f t="shared" si="4"/>
        <v>46-60</v>
      </c>
      <c r="J316" s="3">
        <v>43255</v>
      </c>
      <c r="K316" s="4">
        <v>154884</v>
      </c>
      <c r="L316" s="5">
        <v>0.09</v>
      </c>
      <c r="M316" s="1" t="s">
        <v>36</v>
      </c>
      <c r="N316" s="1" t="s">
        <v>453</v>
      </c>
      <c r="O316" s="6" t="s">
        <v>26</v>
      </c>
    </row>
    <row r="317" spans="1:15" x14ac:dyDescent="0.35">
      <c r="A317" t="s">
        <v>677</v>
      </c>
      <c r="B317" s="1" t="s">
        <v>678</v>
      </c>
      <c r="C317" s="1" t="s">
        <v>29</v>
      </c>
      <c r="D317" s="1" t="s">
        <v>1</v>
      </c>
      <c r="E317" s="1" t="s">
        <v>21</v>
      </c>
      <c r="F317" s="1" t="s">
        <v>35</v>
      </c>
      <c r="G317" s="1" t="s">
        <v>23</v>
      </c>
      <c r="H317" s="1">
        <v>41</v>
      </c>
      <c r="I317" s="1" t="str">
        <f t="shared" si="4"/>
        <v>31-45</v>
      </c>
      <c r="J317" s="3">
        <v>43322</v>
      </c>
      <c r="K317" s="4">
        <v>171173</v>
      </c>
      <c r="L317" s="5">
        <v>0.12</v>
      </c>
      <c r="M317" s="1" t="s">
        <v>24</v>
      </c>
      <c r="N317" s="1" t="s">
        <v>456</v>
      </c>
      <c r="O317" s="6" t="s">
        <v>26</v>
      </c>
    </row>
    <row r="318" spans="1:15" x14ac:dyDescent="0.35">
      <c r="A318" t="s">
        <v>679</v>
      </c>
      <c r="B318" s="1" t="s">
        <v>680</v>
      </c>
      <c r="C318" s="1" t="s">
        <v>144</v>
      </c>
      <c r="D318" s="1" t="s">
        <v>187</v>
      </c>
      <c r="E318" s="1" t="s">
        <v>73</v>
      </c>
      <c r="F318" s="1" t="s">
        <v>22</v>
      </c>
      <c r="G318" s="1" t="s">
        <v>23</v>
      </c>
      <c r="H318" s="1">
        <v>28</v>
      </c>
      <c r="I318" s="1" t="str">
        <f t="shared" si="4"/>
        <v>18-30</v>
      </c>
      <c r="J318" s="3">
        <v>43336</v>
      </c>
      <c r="K318" s="4">
        <v>61410</v>
      </c>
      <c r="L318" s="5">
        <v>0.11</v>
      </c>
      <c r="M318" s="1" t="s">
        <v>403</v>
      </c>
      <c r="N318" s="1" t="s">
        <v>459</v>
      </c>
      <c r="O318" s="6" t="s">
        <v>26</v>
      </c>
    </row>
    <row r="319" spans="1:15" x14ac:dyDescent="0.35">
      <c r="A319" t="s">
        <v>681</v>
      </c>
      <c r="B319" s="1" t="s">
        <v>682</v>
      </c>
      <c r="C319" s="1" t="s">
        <v>110</v>
      </c>
      <c r="D319" s="1" t="s">
        <v>20</v>
      </c>
      <c r="E319" s="1" t="s">
        <v>41</v>
      </c>
      <c r="F319" s="1" t="s">
        <v>35</v>
      </c>
      <c r="G319" s="1" t="s">
        <v>23</v>
      </c>
      <c r="H319" s="1">
        <v>55</v>
      </c>
      <c r="I319" s="1" t="str">
        <f t="shared" si="4"/>
        <v>46-60</v>
      </c>
      <c r="J319" s="3">
        <v>43345</v>
      </c>
      <c r="K319" s="4">
        <v>221465</v>
      </c>
      <c r="L319" s="5">
        <v>0.13</v>
      </c>
      <c r="M319" s="1" t="s">
        <v>462</v>
      </c>
      <c r="N319" s="1" t="s">
        <v>463</v>
      </c>
      <c r="O319" s="6" t="s">
        <v>26</v>
      </c>
    </row>
    <row r="320" spans="1:15" x14ac:dyDescent="0.35">
      <c r="A320" t="s">
        <v>683</v>
      </c>
      <c r="B320" s="1" t="s">
        <v>684</v>
      </c>
      <c r="C320" s="1" t="s">
        <v>60</v>
      </c>
      <c r="D320" s="1" t="s">
        <v>1</v>
      </c>
      <c r="E320" s="1" t="s">
        <v>30</v>
      </c>
      <c r="F320" s="1" t="s">
        <v>35</v>
      </c>
      <c r="G320" s="1" t="s">
        <v>23</v>
      </c>
      <c r="H320" s="1">
        <v>27</v>
      </c>
      <c r="I320" s="1" t="str">
        <f t="shared" si="4"/>
        <v>18-30</v>
      </c>
      <c r="J320" s="3">
        <v>43358</v>
      </c>
      <c r="K320" s="4">
        <v>127616</v>
      </c>
      <c r="L320" s="5">
        <v>0.12</v>
      </c>
      <c r="M320" s="1" t="s">
        <v>218</v>
      </c>
      <c r="N320" s="1" t="s">
        <v>466</v>
      </c>
      <c r="O320" s="6" t="s">
        <v>26</v>
      </c>
    </row>
    <row r="321" spans="1:15" x14ac:dyDescent="0.35">
      <c r="A321" t="s">
        <v>685</v>
      </c>
      <c r="B321" s="1" t="s">
        <v>686</v>
      </c>
      <c r="C321" s="1" t="s">
        <v>60</v>
      </c>
      <c r="D321" s="1" t="s">
        <v>61</v>
      </c>
      <c r="E321" s="1" t="s">
        <v>21</v>
      </c>
      <c r="F321" s="1" t="s">
        <v>22</v>
      </c>
      <c r="G321" s="1" t="s">
        <v>23</v>
      </c>
      <c r="H321" s="1">
        <v>27</v>
      </c>
      <c r="I321" s="1" t="str">
        <f t="shared" si="4"/>
        <v>18-30</v>
      </c>
      <c r="J321" s="3">
        <v>43368</v>
      </c>
      <c r="K321" s="4">
        <v>114441</v>
      </c>
      <c r="L321" s="5">
        <v>0.17</v>
      </c>
      <c r="M321" s="1" t="s">
        <v>24</v>
      </c>
      <c r="N321" s="1" t="s">
        <v>470</v>
      </c>
      <c r="O321" s="6">
        <v>43821</v>
      </c>
    </row>
    <row r="322" spans="1:15" x14ac:dyDescent="0.35">
      <c r="A322" t="s">
        <v>687</v>
      </c>
      <c r="B322" s="1" t="s">
        <v>688</v>
      </c>
      <c r="C322" s="1" t="s">
        <v>179</v>
      </c>
      <c r="D322" s="1" t="s">
        <v>3</v>
      </c>
      <c r="E322" s="1" t="s">
        <v>41</v>
      </c>
      <c r="F322" s="1" t="s">
        <v>22</v>
      </c>
      <c r="G322" s="1" t="s">
        <v>23</v>
      </c>
      <c r="H322" s="1">
        <v>34</v>
      </c>
      <c r="I322" s="1" t="str">
        <f t="shared" si="4"/>
        <v>31-45</v>
      </c>
      <c r="J322" s="3">
        <v>43414</v>
      </c>
      <c r="K322" s="4">
        <v>61944</v>
      </c>
      <c r="L322" s="5">
        <v>0.13</v>
      </c>
      <c r="M322" s="1" t="s">
        <v>46</v>
      </c>
      <c r="N322" s="1" t="s">
        <v>473</v>
      </c>
      <c r="O322" s="6" t="s">
        <v>26</v>
      </c>
    </row>
    <row r="323" spans="1:15" x14ac:dyDescent="0.35">
      <c r="A323" t="s">
        <v>689</v>
      </c>
      <c r="B323" s="1" t="s">
        <v>472</v>
      </c>
      <c r="C323" s="1" t="s">
        <v>2</v>
      </c>
      <c r="D323" s="1" t="s">
        <v>187</v>
      </c>
      <c r="E323" s="1" t="s">
        <v>41</v>
      </c>
      <c r="F323" s="1" t="s">
        <v>35</v>
      </c>
      <c r="G323" s="1" t="s">
        <v>23</v>
      </c>
      <c r="H323" s="1">
        <v>40</v>
      </c>
      <c r="I323" s="1" t="str">
        <f t="shared" ref="I323:I386" si="5">IF(H323&gt;=60,"&gt;60",IF(H323&gt;=46,"46-60",IF(H323&gt;=31,"31-45",IF(H323&gt;18,"18-30",""))))</f>
        <v>31-45</v>
      </c>
      <c r="J323" s="3">
        <v>43440</v>
      </c>
      <c r="K323" s="4">
        <v>57225</v>
      </c>
      <c r="L323" s="5">
        <v>0.12</v>
      </c>
      <c r="M323" s="1" t="s">
        <v>46</v>
      </c>
      <c r="N323" s="1" t="s">
        <v>476</v>
      </c>
      <c r="O323" s="6" t="s">
        <v>26</v>
      </c>
    </row>
    <row r="324" spans="1:15" x14ac:dyDescent="0.35">
      <c r="A324" t="s">
        <v>690</v>
      </c>
      <c r="B324" s="1" t="s">
        <v>475</v>
      </c>
      <c r="C324" s="1" t="s">
        <v>540</v>
      </c>
      <c r="D324" s="1" t="s">
        <v>20</v>
      </c>
      <c r="E324" s="1" t="s">
        <v>21</v>
      </c>
      <c r="F324" s="1" t="s">
        <v>35</v>
      </c>
      <c r="G324" s="1" t="s">
        <v>23</v>
      </c>
      <c r="H324" s="1">
        <v>36</v>
      </c>
      <c r="I324" s="1" t="str">
        <f t="shared" si="5"/>
        <v>31-45</v>
      </c>
      <c r="J324" s="3">
        <v>43448</v>
      </c>
      <c r="K324" s="4">
        <v>96757</v>
      </c>
      <c r="L324" s="5">
        <v>0.15</v>
      </c>
      <c r="M324" s="1" t="s">
        <v>24</v>
      </c>
      <c r="N324" s="1" t="s">
        <v>479</v>
      </c>
      <c r="O324" s="6" t="s">
        <v>26</v>
      </c>
    </row>
    <row r="325" spans="1:15" x14ac:dyDescent="0.35">
      <c r="A325" t="s">
        <v>691</v>
      </c>
      <c r="B325" s="1" t="s">
        <v>478</v>
      </c>
      <c r="C325" s="1" t="s">
        <v>60</v>
      </c>
      <c r="D325" s="1" t="s">
        <v>56</v>
      </c>
      <c r="E325" s="1" t="s">
        <v>30</v>
      </c>
      <c r="F325" s="1" t="s">
        <v>22</v>
      </c>
      <c r="G325" s="1" t="s">
        <v>23</v>
      </c>
      <c r="H325" s="1">
        <v>41</v>
      </c>
      <c r="I325" s="1" t="str">
        <f t="shared" si="5"/>
        <v>31-45</v>
      </c>
      <c r="J325" s="3">
        <v>43502</v>
      </c>
      <c r="K325" s="4">
        <v>126950</v>
      </c>
      <c r="L325" s="5">
        <v>7.0000000000000007E-2</v>
      </c>
      <c r="M325" s="1" t="s">
        <v>24</v>
      </c>
      <c r="N325" s="1" t="s">
        <v>281</v>
      </c>
      <c r="O325" s="6" t="s">
        <v>26</v>
      </c>
    </row>
    <row r="326" spans="1:15" x14ac:dyDescent="0.35">
      <c r="A326" t="s">
        <v>692</v>
      </c>
      <c r="B326" s="1" t="s">
        <v>280</v>
      </c>
      <c r="C326" s="1" t="s">
        <v>2</v>
      </c>
      <c r="D326" s="1" t="s">
        <v>80</v>
      </c>
      <c r="E326" s="1" t="s">
        <v>30</v>
      </c>
      <c r="F326" s="1" t="s">
        <v>35</v>
      </c>
      <c r="G326" s="1" t="s">
        <v>23</v>
      </c>
      <c r="H326" s="1">
        <v>52</v>
      </c>
      <c r="I326" s="1" t="str">
        <f t="shared" si="5"/>
        <v>46-60</v>
      </c>
      <c r="J326" s="3">
        <v>43515</v>
      </c>
      <c r="K326" s="4">
        <v>55859</v>
      </c>
      <c r="L326" s="5">
        <v>0.16</v>
      </c>
      <c r="M326" s="1" t="s">
        <v>36</v>
      </c>
      <c r="N326" s="1" t="s">
        <v>383</v>
      </c>
      <c r="O326" s="6" t="s">
        <v>26</v>
      </c>
    </row>
    <row r="327" spans="1:15" x14ac:dyDescent="0.35">
      <c r="A327" t="s">
        <v>693</v>
      </c>
      <c r="B327" s="1" t="s">
        <v>382</v>
      </c>
      <c r="C327" s="1" t="s">
        <v>40</v>
      </c>
      <c r="D327" s="1" t="s">
        <v>20</v>
      </c>
      <c r="E327" s="1" t="s">
        <v>41</v>
      </c>
      <c r="F327" s="1" t="s">
        <v>22</v>
      </c>
      <c r="G327" s="1" t="s">
        <v>23</v>
      </c>
      <c r="H327" s="1">
        <v>64</v>
      </c>
      <c r="I327" s="1" t="str">
        <f t="shared" si="5"/>
        <v>&gt;60</v>
      </c>
      <c r="J327" s="3">
        <v>43527</v>
      </c>
      <c r="K327" s="4">
        <v>67114</v>
      </c>
      <c r="L327" s="5">
        <v>0.05</v>
      </c>
      <c r="M327" s="1" t="s">
        <v>24</v>
      </c>
      <c r="N327" s="1" t="s">
        <v>173</v>
      </c>
      <c r="O327" s="6" t="s">
        <v>26</v>
      </c>
    </row>
    <row r="328" spans="1:15" x14ac:dyDescent="0.35">
      <c r="A328" t="s">
        <v>694</v>
      </c>
      <c r="B328" s="1" t="s">
        <v>695</v>
      </c>
      <c r="C328" s="1" t="s">
        <v>45</v>
      </c>
      <c r="D328" s="1" t="s">
        <v>80</v>
      </c>
      <c r="E328" s="1" t="s">
        <v>41</v>
      </c>
      <c r="F328" s="1" t="s">
        <v>35</v>
      </c>
      <c r="G328" s="1" t="s">
        <v>23</v>
      </c>
      <c r="H328" s="1">
        <v>35</v>
      </c>
      <c r="I328" s="1" t="str">
        <f t="shared" si="5"/>
        <v>31-45</v>
      </c>
      <c r="J328" s="3">
        <v>43542</v>
      </c>
      <c r="K328" s="4">
        <v>74779</v>
      </c>
      <c r="L328" s="5">
        <v>0.09</v>
      </c>
      <c r="M328" s="1" t="s">
        <v>46</v>
      </c>
      <c r="N328" s="1" t="s">
        <v>131</v>
      </c>
      <c r="O328" s="6" t="s">
        <v>26</v>
      </c>
    </row>
    <row r="329" spans="1:15" x14ac:dyDescent="0.35">
      <c r="A329" t="s">
        <v>696</v>
      </c>
      <c r="B329" s="1" t="s">
        <v>697</v>
      </c>
      <c r="C329" s="1" t="s">
        <v>274</v>
      </c>
      <c r="D329" s="1" t="s">
        <v>3</v>
      </c>
      <c r="E329" s="1" t="s">
        <v>41</v>
      </c>
      <c r="F329" s="1" t="s">
        <v>35</v>
      </c>
      <c r="G329" s="1" t="s">
        <v>23</v>
      </c>
      <c r="H329" s="1">
        <v>30</v>
      </c>
      <c r="I329" s="1" t="str">
        <f t="shared" si="5"/>
        <v>18-30</v>
      </c>
      <c r="J329" s="3">
        <v>43553</v>
      </c>
      <c r="K329" s="4">
        <v>86774</v>
      </c>
      <c r="L329" s="5">
        <v>0.17</v>
      </c>
      <c r="M329" s="1" t="s">
        <v>24</v>
      </c>
      <c r="N329" s="1" t="s">
        <v>388</v>
      </c>
      <c r="O329" s="6" t="s">
        <v>26</v>
      </c>
    </row>
    <row r="330" spans="1:15" x14ac:dyDescent="0.35">
      <c r="A330" t="s">
        <v>698</v>
      </c>
      <c r="B330" s="1" t="s">
        <v>699</v>
      </c>
      <c r="C330" s="1" t="s">
        <v>144</v>
      </c>
      <c r="D330" s="1" t="s">
        <v>1</v>
      </c>
      <c r="E330" s="1" t="s">
        <v>21</v>
      </c>
      <c r="F330" s="1" t="s">
        <v>35</v>
      </c>
      <c r="G330" s="1" t="s">
        <v>23</v>
      </c>
      <c r="H330" s="1">
        <v>45</v>
      </c>
      <c r="I330" s="1" t="str">
        <f t="shared" si="5"/>
        <v>31-45</v>
      </c>
      <c r="J330" s="3">
        <v>43557</v>
      </c>
      <c r="K330" s="4">
        <v>52621</v>
      </c>
      <c r="L330" s="5">
        <v>0.13</v>
      </c>
      <c r="M330" s="1" t="s">
        <v>36</v>
      </c>
      <c r="N330" s="1" t="s">
        <v>391</v>
      </c>
      <c r="O330" s="6" t="s">
        <v>26</v>
      </c>
    </row>
    <row r="331" spans="1:15" x14ac:dyDescent="0.35">
      <c r="A331" t="s">
        <v>700</v>
      </c>
      <c r="B331" s="1" t="s">
        <v>701</v>
      </c>
      <c r="C331" s="1" t="s">
        <v>55</v>
      </c>
      <c r="D331" s="1" t="s">
        <v>56</v>
      </c>
      <c r="E331" s="1" t="s">
        <v>21</v>
      </c>
      <c r="F331" s="1" t="s">
        <v>35</v>
      </c>
      <c r="G331" s="1" t="s">
        <v>23</v>
      </c>
      <c r="H331" s="1">
        <v>45</v>
      </c>
      <c r="I331" s="1" t="str">
        <f t="shared" si="5"/>
        <v>31-45</v>
      </c>
      <c r="J331" s="3">
        <v>43581</v>
      </c>
      <c r="K331" s="4">
        <v>90870</v>
      </c>
      <c r="L331" s="5">
        <v>0.06</v>
      </c>
      <c r="M331" s="1" t="s">
        <v>24</v>
      </c>
      <c r="N331" s="1" t="s">
        <v>394</v>
      </c>
      <c r="O331" s="6" t="s">
        <v>26</v>
      </c>
    </row>
    <row r="332" spans="1:15" x14ac:dyDescent="0.35">
      <c r="A332" t="s">
        <v>702</v>
      </c>
      <c r="B332" s="1" t="s">
        <v>703</v>
      </c>
      <c r="C332" s="1" t="s">
        <v>45</v>
      </c>
      <c r="D332" s="1" t="s">
        <v>80</v>
      </c>
      <c r="E332" s="1" t="s">
        <v>30</v>
      </c>
      <c r="F332" s="1" t="s">
        <v>22</v>
      </c>
      <c r="G332" s="1" t="s">
        <v>23</v>
      </c>
      <c r="H332" s="1">
        <v>49</v>
      </c>
      <c r="I332" s="1" t="str">
        <f t="shared" si="5"/>
        <v>46-60</v>
      </c>
      <c r="J332" s="3">
        <v>43623</v>
      </c>
      <c r="K332" s="4">
        <v>80700</v>
      </c>
      <c r="L332" s="5">
        <v>0.14000000000000001</v>
      </c>
      <c r="M332" s="1" t="s">
        <v>251</v>
      </c>
      <c r="N332" s="1" t="s">
        <v>397</v>
      </c>
      <c r="O332" s="6" t="s">
        <v>26</v>
      </c>
    </row>
    <row r="333" spans="1:15" x14ac:dyDescent="0.35">
      <c r="A333" t="s">
        <v>704</v>
      </c>
      <c r="B333" s="1" t="s">
        <v>705</v>
      </c>
      <c r="C333" s="1" t="s">
        <v>29</v>
      </c>
      <c r="D333" s="1" t="s">
        <v>61</v>
      </c>
      <c r="E333" s="1" t="s">
        <v>73</v>
      </c>
      <c r="F333" s="1" t="s">
        <v>22</v>
      </c>
      <c r="G333" s="1" t="s">
        <v>23</v>
      </c>
      <c r="H333" s="1">
        <v>31</v>
      </c>
      <c r="I333" s="1" t="str">
        <f t="shared" si="5"/>
        <v>31-45</v>
      </c>
      <c r="J333" s="3">
        <v>43626</v>
      </c>
      <c r="K333" s="4">
        <v>176710</v>
      </c>
      <c r="L333" s="5">
        <v>0.17</v>
      </c>
      <c r="M333" s="1" t="s">
        <v>24</v>
      </c>
      <c r="N333" s="1" t="s">
        <v>400</v>
      </c>
      <c r="O333" s="6" t="s">
        <v>26</v>
      </c>
    </row>
    <row r="334" spans="1:15" x14ac:dyDescent="0.35">
      <c r="A334" t="s">
        <v>706</v>
      </c>
      <c r="B334" s="1" t="s">
        <v>707</v>
      </c>
      <c r="C334" s="1" t="s">
        <v>144</v>
      </c>
      <c r="D334" s="1" t="s">
        <v>187</v>
      </c>
      <c r="E334" s="1" t="s">
        <v>30</v>
      </c>
      <c r="F334" s="1" t="s">
        <v>22</v>
      </c>
      <c r="G334" s="1" t="s">
        <v>23</v>
      </c>
      <c r="H334" s="1">
        <v>49</v>
      </c>
      <c r="I334" s="1" t="str">
        <f t="shared" si="5"/>
        <v>46-60</v>
      </c>
      <c r="J334" s="3">
        <v>43671</v>
      </c>
      <c r="K334" s="4">
        <v>50883</v>
      </c>
      <c r="L334" s="5">
        <v>0.1</v>
      </c>
      <c r="M334" s="1" t="s">
        <v>403</v>
      </c>
      <c r="N334" s="1" t="s">
        <v>404</v>
      </c>
      <c r="O334" s="6">
        <v>44257</v>
      </c>
    </row>
    <row r="335" spans="1:15" x14ac:dyDescent="0.35">
      <c r="A335" t="s">
        <v>708</v>
      </c>
      <c r="B335" s="1" t="s">
        <v>709</v>
      </c>
      <c r="C335" s="1" t="s">
        <v>102</v>
      </c>
      <c r="D335" s="1" t="s">
        <v>61</v>
      </c>
      <c r="E335" s="1" t="s">
        <v>73</v>
      </c>
      <c r="F335" s="1" t="s">
        <v>35</v>
      </c>
      <c r="G335" s="1" t="s">
        <v>23</v>
      </c>
      <c r="H335" s="1">
        <v>31</v>
      </c>
      <c r="I335" s="1" t="str">
        <f t="shared" si="5"/>
        <v>31-45</v>
      </c>
      <c r="J335" s="3">
        <v>43695</v>
      </c>
      <c r="K335" s="4">
        <v>126353</v>
      </c>
      <c r="L335" s="5">
        <v>0.15</v>
      </c>
      <c r="M335" s="1" t="s">
        <v>24</v>
      </c>
      <c r="N335" s="1" t="s">
        <v>407</v>
      </c>
      <c r="O335" s="6" t="s">
        <v>26</v>
      </c>
    </row>
    <row r="336" spans="1:15" x14ac:dyDescent="0.35">
      <c r="A336" t="s">
        <v>710</v>
      </c>
      <c r="B336" s="1" t="s">
        <v>711</v>
      </c>
      <c r="C336" s="1" t="s">
        <v>2</v>
      </c>
      <c r="D336" s="1" t="s">
        <v>187</v>
      </c>
      <c r="E336" s="1" t="s">
        <v>30</v>
      </c>
      <c r="F336" s="1" t="s">
        <v>35</v>
      </c>
      <c r="G336" s="1" t="s">
        <v>23</v>
      </c>
      <c r="H336" s="1">
        <v>27</v>
      </c>
      <c r="I336" s="1" t="str">
        <f t="shared" si="5"/>
        <v>18-30</v>
      </c>
      <c r="J336" s="3">
        <v>43701</v>
      </c>
      <c r="K336" s="4">
        <v>50809</v>
      </c>
      <c r="L336" s="5">
        <v>0.16</v>
      </c>
      <c r="M336" s="1" t="s">
        <v>46</v>
      </c>
      <c r="N336" s="1" t="s">
        <v>410</v>
      </c>
      <c r="O336" s="6" t="s">
        <v>26</v>
      </c>
    </row>
    <row r="337" spans="1:15" x14ac:dyDescent="0.35">
      <c r="A337" t="s">
        <v>712</v>
      </c>
      <c r="B337" s="1" t="s">
        <v>713</v>
      </c>
      <c r="C337" s="1" t="s">
        <v>250</v>
      </c>
      <c r="D337" s="1" t="s">
        <v>3</v>
      </c>
      <c r="E337" s="1" t="s">
        <v>73</v>
      </c>
      <c r="F337" s="1" t="s">
        <v>22</v>
      </c>
      <c r="G337" s="1" t="s">
        <v>23</v>
      </c>
      <c r="H337" s="1">
        <v>34</v>
      </c>
      <c r="I337" s="1" t="str">
        <f t="shared" si="5"/>
        <v>31-45</v>
      </c>
      <c r="J337" s="3">
        <v>43728</v>
      </c>
      <c r="K337" s="4">
        <v>94735</v>
      </c>
      <c r="L337" s="5">
        <v>0.06</v>
      </c>
      <c r="M337" s="1" t="s">
        <v>24</v>
      </c>
      <c r="N337" s="1" t="s">
        <v>197</v>
      </c>
      <c r="O337" s="6" t="s">
        <v>26</v>
      </c>
    </row>
    <row r="338" spans="1:15" x14ac:dyDescent="0.35">
      <c r="A338" t="s">
        <v>714</v>
      </c>
      <c r="B338" s="1" t="s">
        <v>715</v>
      </c>
      <c r="C338" s="1" t="s">
        <v>60</v>
      </c>
      <c r="D338" s="1" t="s">
        <v>61</v>
      </c>
      <c r="E338" s="1" t="s">
        <v>41</v>
      </c>
      <c r="F338" s="1" t="s">
        <v>35</v>
      </c>
      <c r="G338" s="1" t="s">
        <v>23</v>
      </c>
      <c r="H338" s="1">
        <v>64</v>
      </c>
      <c r="I338" s="1" t="str">
        <f t="shared" si="5"/>
        <v>&gt;60</v>
      </c>
      <c r="J338" s="3">
        <v>43729</v>
      </c>
      <c r="K338" s="4">
        <v>108780</v>
      </c>
      <c r="L338" s="5">
        <v>0.11</v>
      </c>
      <c r="M338" s="1" t="s">
        <v>24</v>
      </c>
      <c r="N338" s="1" t="s">
        <v>415</v>
      </c>
      <c r="O338" s="6" t="s">
        <v>26</v>
      </c>
    </row>
    <row r="339" spans="1:15" x14ac:dyDescent="0.35">
      <c r="A339" t="s">
        <v>716</v>
      </c>
      <c r="B339" s="1" t="s">
        <v>717</v>
      </c>
      <c r="C339" s="1" t="s">
        <v>137</v>
      </c>
      <c r="D339" s="1" t="s">
        <v>3</v>
      </c>
      <c r="E339" s="1" t="s">
        <v>21</v>
      </c>
      <c r="F339" s="1" t="s">
        <v>35</v>
      </c>
      <c r="G339" s="1" t="s">
        <v>23</v>
      </c>
      <c r="H339" s="1">
        <v>28</v>
      </c>
      <c r="I339" s="1" t="str">
        <f t="shared" si="5"/>
        <v>18-30</v>
      </c>
      <c r="J339" s="3">
        <v>43763</v>
      </c>
      <c r="K339" s="4">
        <v>50111</v>
      </c>
      <c r="L339" s="5">
        <v>0.09</v>
      </c>
      <c r="M339" s="1" t="s">
        <v>46</v>
      </c>
      <c r="N339" s="1" t="s">
        <v>418</v>
      </c>
      <c r="O339" s="6" t="s">
        <v>26</v>
      </c>
    </row>
    <row r="340" spans="1:15" x14ac:dyDescent="0.35">
      <c r="A340" t="s">
        <v>718</v>
      </c>
      <c r="B340" s="1" t="s">
        <v>719</v>
      </c>
      <c r="C340" s="1" t="s">
        <v>29</v>
      </c>
      <c r="D340" s="1" t="s">
        <v>56</v>
      </c>
      <c r="E340" s="1" t="s">
        <v>73</v>
      </c>
      <c r="F340" s="1" t="s">
        <v>22</v>
      </c>
      <c r="G340" s="1" t="s">
        <v>23</v>
      </c>
      <c r="H340" s="1">
        <v>47</v>
      </c>
      <c r="I340" s="1" t="str">
        <f t="shared" si="5"/>
        <v>46-60</v>
      </c>
      <c r="J340" s="3">
        <v>43772</v>
      </c>
      <c r="K340" s="4">
        <v>195385</v>
      </c>
      <c r="L340" s="5">
        <v>0.09</v>
      </c>
      <c r="M340" s="1" t="s">
        <v>24</v>
      </c>
      <c r="N340" s="1" t="s">
        <v>421</v>
      </c>
      <c r="O340" s="6" t="s">
        <v>26</v>
      </c>
    </row>
    <row r="341" spans="1:15" x14ac:dyDescent="0.35">
      <c r="A341" t="s">
        <v>720</v>
      </c>
      <c r="B341" s="1" t="s">
        <v>721</v>
      </c>
      <c r="C341" s="1" t="s">
        <v>29</v>
      </c>
      <c r="D341" s="1" t="s">
        <v>1</v>
      </c>
      <c r="E341" s="1" t="s">
        <v>21</v>
      </c>
      <c r="F341" s="1" t="s">
        <v>22</v>
      </c>
      <c r="G341" s="1" t="s">
        <v>23</v>
      </c>
      <c r="H341" s="1">
        <v>27</v>
      </c>
      <c r="I341" s="1" t="str">
        <f t="shared" si="5"/>
        <v>18-30</v>
      </c>
      <c r="J341" s="3">
        <v>43776</v>
      </c>
      <c r="K341" s="4">
        <v>174607</v>
      </c>
      <c r="L341" s="5">
        <v>0.15</v>
      </c>
      <c r="M341" s="1" t="s">
        <v>24</v>
      </c>
      <c r="N341" s="1" t="s">
        <v>388</v>
      </c>
      <c r="O341" s="6" t="s">
        <v>26</v>
      </c>
    </row>
    <row r="342" spans="1:15" x14ac:dyDescent="0.35">
      <c r="A342" t="s">
        <v>722</v>
      </c>
      <c r="B342" s="1" t="s">
        <v>428</v>
      </c>
      <c r="C342" s="1" t="s">
        <v>446</v>
      </c>
      <c r="D342" s="1" t="s">
        <v>20</v>
      </c>
      <c r="E342" s="1" t="s">
        <v>41</v>
      </c>
      <c r="F342" s="1" t="s">
        <v>35</v>
      </c>
      <c r="G342" s="1" t="s">
        <v>23</v>
      </c>
      <c r="H342" s="1">
        <v>29</v>
      </c>
      <c r="I342" s="1" t="str">
        <f t="shared" si="5"/>
        <v>18-30</v>
      </c>
      <c r="J342" s="3">
        <v>43778</v>
      </c>
      <c r="K342" s="4">
        <v>75012</v>
      </c>
      <c r="L342" s="5">
        <v>0.14000000000000001</v>
      </c>
      <c r="M342" s="1" t="s">
        <v>46</v>
      </c>
      <c r="N342" s="1" t="s">
        <v>426</v>
      </c>
      <c r="O342" s="6" t="s">
        <v>26</v>
      </c>
    </row>
    <row r="343" spans="1:15" x14ac:dyDescent="0.35">
      <c r="A343" t="s">
        <v>723</v>
      </c>
      <c r="B343" s="1" t="s">
        <v>431</v>
      </c>
      <c r="C343" s="1" t="s">
        <v>110</v>
      </c>
      <c r="D343" s="1" t="s">
        <v>61</v>
      </c>
      <c r="E343" s="1" t="s">
        <v>21</v>
      </c>
      <c r="F343" s="1" t="s">
        <v>22</v>
      </c>
      <c r="G343" s="1" t="s">
        <v>23</v>
      </c>
      <c r="H343" s="1">
        <v>39</v>
      </c>
      <c r="I343" s="1" t="str">
        <f t="shared" si="5"/>
        <v>31-45</v>
      </c>
      <c r="J343" s="3">
        <v>43804</v>
      </c>
      <c r="K343" s="4">
        <v>254057</v>
      </c>
      <c r="L343" s="5">
        <v>0.08</v>
      </c>
      <c r="M343" s="1" t="s">
        <v>24</v>
      </c>
      <c r="N343" s="1" t="s">
        <v>429</v>
      </c>
      <c r="O343" s="6" t="s">
        <v>26</v>
      </c>
    </row>
    <row r="344" spans="1:15" x14ac:dyDescent="0.35">
      <c r="A344" t="s">
        <v>724</v>
      </c>
      <c r="B344" s="1" t="s">
        <v>434</v>
      </c>
      <c r="C344" s="1" t="s">
        <v>29</v>
      </c>
      <c r="D344" s="1" t="s">
        <v>61</v>
      </c>
      <c r="E344" s="1" t="s">
        <v>73</v>
      </c>
      <c r="F344" s="1" t="s">
        <v>35</v>
      </c>
      <c r="G344" s="1" t="s">
        <v>23</v>
      </c>
      <c r="H344" s="1">
        <v>28</v>
      </c>
      <c r="I344" s="1" t="str">
        <f t="shared" si="5"/>
        <v>18-30</v>
      </c>
      <c r="J344" s="3">
        <v>43810</v>
      </c>
      <c r="K344" s="4">
        <v>182321</v>
      </c>
      <c r="L344" s="5">
        <v>0.08</v>
      </c>
      <c r="M344" s="1" t="s">
        <v>36</v>
      </c>
      <c r="N344" s="1" t="s">
        <v>432</v>
      </c>
      <c r="O344" s="6" t="s">
        <v>26</v>
      </c>
    </row>
    <row r="345" spans="1:15" x14ac:dyDescent="0.35">
      <c r="A345" t="s">
        <v>725</v>
      </c>
      <c r="B345" s="1" t="s">
        <v>437</v>
      </c>
      <c r="C345" s="1" t="s">
        <v>130</v>
      </c>
      <c r="D345" s="1" t="s">
        <v>20</v>
      </c>
      <c r="E345" s="1" t="s">
        <v>41</v>
      </c>
      <c r="F345" s="1" t="s">
        <v>35</v>
      </c>
      <c r="G345" s="1" t="s">
        <v>23</v>
      </c>
      <c r="H345" s="1">
        <v>34</v>
      </c>
      <c r="I345" s="1" t="str">
        <f t="shared" si="5"/>
        <v>31-45</v>
      </c>
      <c r="J345" s="3">
        <v>43815</v>
      </c>
      <c r="K345" s="4">
        <v>99989</v>
      </c>
      <c r="L345" s="5">
        <v>0.12</v>
      </c>
      <c r="M345" s="1" t="s">
        <v>24</v>
      </c>
      <c r="N345" s="1" t="s">
        <v>435</v>
      </c>
      <c r="O345" s="6" t="s">
        <v>26</v>
      </c>
    </row>
    <row r="346" spans="1:15" x14ac:dyDescent="0.35">
      <c r="A346" t="s">
        <v>726</v>
      </c>
      <c r="B346" s="1" t="s">
        <v>439</v>
      </c>
      <c r="C346" s="1" t="s">
        <v>65</v>
      </c>
      <c r="D346" s="1" t="s">
        <v>3</v>
      </c>
      <c r="E346" s="1" t="s">
        <v>73</v>
      </c>
      <c r="F346" s="1" t="s">
        <v>35</v>
      </c>
      <c r="G346" s="1" t="s">
        <v>23</v>
      </c>
      <c r="H346" s="1">
        <v>32</v>
      </c>
      <c r="I346" s="1" t="str">
        <f t="shared" si="5"/>
        <v>31-45</v>
      </c>
      <c r="J346" s="3">
        <v>43835</v>
      </c>
      <c r="K346" s="4">
        <v>78844</v>
      </c>
      <c r="L346" s="5">
        <v>0.15</v>
      </c>
      <c r="M346" s="1" t="s">
        <v>304</v>
      </c>
      <c r="N346" s="1" t="s">
        <v>305</v>
      </c>
      <c r="O346" s="6" t="s">
        <v>26</v>
      </c>
    </row>
    <row r="347" spans="1:15" x14ac:dyDescent="0.35">
      <c r="A347" t="s">
        <v>727</v>
      </c>
      <c r="B347" s="1" t="s">
        <v>442</v>
      </c>
      <c r="C347" s="1" t="s">
        <v>60</v>
      </c>
      <c r="D347" s="1" t="s">
        <v>61</v>
      </c>
      <c r="E347" s="1" t="s">
        <v>30</v>
      </c>
      <c r="F347" s="1" t="s">
        <v>22</v>
      </c>
      <c r="G347" s="1" t="s">
        <v>23</v>
      </c>
      <c r="H347" s="1">
        <v>28</v>
      </c>
      <c r="I347" s="1" t="str">
        <f t="shared" si="5"/>
        <v>18-30</v>
      </c>
      <c r="J347" s="3">
        <v>43863</v>
      </c>
      <c r="K347" s="4">
        <v>115417</v>
      </c>
      <c r="L347" s="5">
        <v>0.08</v>
      </c>
      <c r="M347" s="1" t="s">
        <v>24</v>
      </c>
      <c r="N347" s="1" t="s">
        <v>440</v>
      </c>
      <c r="O347" s="6" t="s">
        <v>26</v>
      </c>
    </row>
    <row r="348" spans="1:15" x14ac:dyDescent="0.35">
      <c r="A348" t="s">
        <v>728</v>
      </c>
      <c r="B348" s="1" t="s">
        <v>445</v>
      </c>
      <c r="C348" s="1" t="s">
        <v>144</v>
      </c>
      <c r="D348" s="1" t="s">
        <v>1</v>
      </c>
      <c r="E348" s="1" t="s">
        <v>73</v>
      </c>
      <c r="F348" s="1" t="s">
        <v>22</v>
      </c>
      <c r="G348" s="1" t="s">
        <v>23</v>
      </c>
      <c r="H348" s="1">
        <v>31</v>
      </c>
      <c r="I348" s="1" t="str">
        <f t="shared" si="5"/>
        <v>31-45</v>
      </c>
      <c r="J348" s="3">
        <v>43878</v>
      </c>
      <c r="K348" s="4">
        <v>67171</v>
      </c>
      <c r="L348" s="5">
        <v>0.17</v>
      </c>
      <c r="M348" s="1" t="s">
        <v>46</v>
      </c>
      <c r="N348" s="1" t="s">
        <v>443</v>
      </c>
      <c r="O348" s="6">
        <v>44317</v>
      </c>
    </row>
    <row r="349" spans="1:15" x14ac:dyDescent="0.35">
      <c r="A349" t="s">
        <v>729</v>
      </c>
      <c r="B349" s="1" t="s">
        <v>449</v>
      </c>
      <c r="C349" s="1" t="s">
        <v>446</v>
      </c>
      <c r="D349" s="1" t="s">
        <v>20</v>
      </c>
      <c r="E349" s="1" t="s">
        <v>21</v>
      </c>
      <c r="F349" s="1" t="s">
        <v>35</v>
      </c>
      <c r="G349" s="1" t="s">
        <v>23</v>
      </c>
      <c r="H349" s="1">
        <v>37</v>
      </c>
      <c r="I349" s="1" t="str">
        <f t="shared" si="5"/>
        <v>31-45</v>
      </c>
      <c r="J349" s="3">
        <v>43898</v>
      </c>
      <c r="K349" s="4">
        <v>80659</v>
      </c>
      <c r="L349" s="5">
        <v>0.11</v>
      </c>
      <c r="M349" s="1" t="s">
        <v>24</v>
      </c>
      <c r="N349" s="1" t="s">
        <v>447</v>
      </c>
      <c r="O349" s="6" t="s">
        <v>26</v>
      </c>
    </row>
    <row r="350" spans="1:15" x14ac:dyDescent="0.35">
      <c r="A350" t="s">
        <v>730</v>
      </c>
      <c r="B350" s="1" t="s">
        <v>452</v>
      </c>
      <c r="C350" s="1" t="s">
        <v>102</v>
      </c>
      <c r="D350" s="1" t="s">
        <v>61</v>
      </c>
      <c r="E350" s="1" t="s">
        <v>21</v>
      </c>
      <c r="F350" s="1" t="s">
        <v>35</v>
      </c>
      <c r="G350" s="1" t="s">
        <v>23</v>
      </c>
      <c r="H350" s="1">
        <v>25</v>
      </c>
      <c r="I350" s="1" t="str">
        <f t="shared" si="5"/>
        <v>18-30</v>
      </c>
      <c r="J350" s="3">
        <v>43930</v>
      </c>
      <c r="K350" s="4">
        <v>157057</v>
      </c>
      <c r="L350" s="5">
        <v>0.13</v>
      </c>
      <c r="M350" s="1" t="s">
        <v>24</v>
      </c>
      <c r="N350" s="1" t="s">
        <v>450</v>
      </c>
      <c r="O350" s="6" t="s">
        <v>26</v>
      </c>
    </row>
    <row r="351" spans="1:15" x14ac:dyDescent="0.35">
      <c r="A351" t="s">
        <v>731</v>
      </c>
      <c r="B351" s="1" t="s">
        <v>455</v>
      </c>
      <c r="C351" s="1" t="s">
        <v>40</v>
      </c>
      <c r="D351" s="1" t="s">
        <v>20</v>
      </c>
      <c r="E351" s="1" t="s">
        <v>73</v>
      </c>
      <c r="F351" s="1" t="s">
        <v>22</v>
      </c>
      <c r="G351" s="1" t="s">
        <v>23</v>
      </c>
      <c r="H351" s="1">
        <v>27</v>
      </c>
      <c r="I351" s="1" t="str">
        <f t="shared" si="5"/>
        <v>18-30</v>
      </c>
      <c r="J351" s="3">
        <v>43937</v>
      </c>
      <c r="K351" s="4">
        <v>71864</v>
      </c>
      <c r="L351" s="5">
        <v>0.16</v>
      </c>
      <c r="M351" s="1" t="s">
        <v>36</v>
      </c>
      <c r="N351" s="1" t="s">
        <v>453</v>
      </c>
      <c r="O351" s="6" t="s">
        <v>26</v>
      </c>
    </row>
    <row r="352" spans="1:15" x14ac:dyDescent="0.35">
      <c r="A352" t="s">
        <v>732</v>
      </c>
      <c r="B352" s="1" t="s">
        <v>458</v>
      </c>
      <c r="C352" s="1" t="s">
        <v>536</v>
      </c>
      <c r="D352" s="1" t="s">
        <v>3</v>
      </c>
      <c r="E352" s="1" t="s">
        <v>73</v>
      </c>
      <c r="F352" s="1" t="s">
        <v>35</v>
      </c>
      <c r="G352" s="1" t="s">
        <v>23</v>
      </c>
      <c r="H352" s="1">
        <v>39</v>
      </c>
      <c r="I352" s="1" t="str">
        <f t="shared" si="5"/>
        <v>31-45</v>
      </c>
      <c r="J352" s="3">
        <v>43943</v>
      </c>
      <c r="K352" s="4">
        <v>90535</v>
      </c>
      <c r="L352" s="5">
        <v>0.1</v>
      </c>
      <c r="M352" s="1" t="s">
        <v>24</v>
      </c>
      <c r="N352" s="1" t="s">
        <v>456</v>
      </c>
      <c r="O352" s="6" t="s">
        <v>26</v>
      </c>
    </row>
    <row r="353" spans="1:15" x14ac:dyDescent="0.35">
      <c r="A353" t="s">
        <v>733</v>
      </c>
      <c r="B353" s="1" t="s">
        <v>461</v>
      </c>
      <c r="C353" s="1" t="s">
        <v>110</v>
      </c>
      <c r="D353" s="1" t="s">
        <v>3</v>
      </c>
      <c r="E353" s="1" t="s">
        <v>21</v>
      </c>
      <c r="F353" s="1" t="s">
        <v>22</v>
      </c>
      <c r="G353" s="1" t="s">
        <v>23</v>
      </c>
      <c r="H353" s="1">
        <v>26</v>
      </c>
      <c r="I353" s="1" t="str">
        <f t="shared" si="5"/>
        <v>18-30</v>
      </c>
      <c r="J353" s="3">
        <v>43960</v>
      </c>
      <c r="K353" s="4">
        <v>256561</v>
      </c>
      <c r="L353" s="5">
        <v>0.13</v>
      </c>
      <c r="M353" s="1" t="s">
        <v>403</v>
      </c>
      <c r="N353" s="1" t="s">
        <v>459</v>
      </c>
      <c r="O353" s="6" t="s">
        <v>26</v>
      </c>
    </row>
    <row r="354" spans="1:15" x14ac:dyDescent="0.35">
      <c r="A354" t="s">
        <v>734</v>
      </c>
      <c r="B354" s="1" t="s">
        <v>465</v>
      </c>
      <c r="C354" s="1" t="s">
        <v>45</v>
      </c>
      <c r="D354" s="1" t="s">
        <v>1</v>
      </c>
      <c r="E354" s="1" t="s">
        <v>21</v>
      </c>
      <c r="F354" s="1" t="s">
        <v>35</v>
      </c>
      <c r="G354" s="1" t="s">
        <v>23</v>
      </c>
      <c r="H354" s="1">
        <v>62</v>
      </c>
      <c r="I354" s="1" t="str">
        <f t="shared" si="5"/>
        <v>&gt;60</v>
      </c>
      <c r="J354" s="3">
        <v>43969</v>
      </c>
      <c r="K354" s="4">
        <v>97830</v>
      </c>
      <c r="L354" s="5">
        <v>0.09</v>
      </c>
      <c r="M354" s="1" t="s">
        <v>462</v>
      </c>
      <c r="N354" s="1" t="s">
        <v>463</v>
      </c>
      <c r="O354" s="6" t="s">
        <v>26</v>
      </c>
    </row>
    <row r="355" spans="1:15" x14ac:dyDescent="0.35">
      <c r="A355" t="s">
        <v>735</v>
      </c>
      <c r="B355" s="1" t="s">
        <v>468</v>
      </c>
      <c r="C355" s="1" t="s">
        <v>335</v>
      </c>
      <c r="D355" s="1" t="s">
        <v>3</v>
      </c>
      <c r="E355" s="1" t="s">
        <v>21</v>
      </c>
      <c r="F355" s="1" t="s">
        <v>22</v>
      </c>
      <c r="G355" s="1" t="s">
        <v>23</v>
      </c>
      <c r="H355" s="1">
        <v>28</v>
      </c>
      <c r="I355" s="1" t="str">
        <f t="shared" si="5"/>
        <v>18-30</v>
      </c>
      <c r="J355" s="3">
        <v>43977</v>
      </c>
      <c r="K355" s="4">
        <v>67925</v>
      </c>
      <c r="L355" s="5">
        <v>0.14000000000000001</v>
      </c>
      <c r="M355" s="1" t="s">
        <v>218</v>
      </c>
      <c r="N355" s="1" t="s">
        <v>466</v>
      </c>
      <c r="O355" s="6" t="s">
        <v>26</v>
      </c>
    </row>
    <row r="356" spans="1:15" x14ac:dyDescent="0.35">
      <c r="A356" t="s">
        <v>736</v>
      </c>
      <c r="B356" s="1" t="s">
        <v>267</v>
      </c>
      <c r="C356" s="1" t="s">
        <v>29</v>
      </c>
      <c r="D356" s="1" t="s">
        <v>80</v>
      </c>
      <c r="E356" s="1" t="s">
        <v>21</v>
      </c>
      <c r="F356" s="1" t="s">
        <v>35</v>
      </c>
      <c r="G356" s="1" t="s">
        <v>23</v>
      </c>
      <c r="H356" s="1">
        <v>27</v>
      </c>
      <c r="I356" s="1" t="str">
        <f t="shared" si="5"/>
        <v>18-30</v>
      </c>
      <c r="J356" s="3">
        <v>43977</v>
      </c>
      <c r="K356" s="4">
        <v>153628</v>
      </c>
      <c r="L356" s="5">
        <v>0.05</v>
      </c>
      <c r="M356" s="1" t="s">
        <v>24</v>
      </c>
      <c r="N356" s="1" t="s">
        <v>470</v>
      </c>
      <c r="O356" s="6">
        <v>44177</v>
      </c>
    </row>
    <row r="357" spans="1:15" x14ac:dyDescent="0.35">
      <c r="A357" t="s">
        <v>737</v>
      </c>
      <c r="B357" s="1" t="s">
        <v>738</v>
      </c>
      <c r="C357" s="1" t="s">
        <v>45</v>
      </c>
      <c r="D357" s="1" t="s">
        <v>187</v>
      </c>
      <c r="E357" s="1" t="s">
        <v>73</v>
      </c>
      <c r="F357" s="1" t="s">
        <v>35</v>
      </c>
      <c r="G357" s="1" t="s">
        <v>23</v>
      </c>
      <c r="H357" s="1">
        <v>45</v>
      </c>
      <c r="I357" s="1" t="str">
        <f t="shared" si="5"/>
        <v>31-45</v>
      </c>
      <c r="J357" s="3">
        <v>43999</v>
      </c>
      <c r="K357" s="4">
        <v>89841</v>
      </c>
      <c r="L357" s="5">
        <v>7.0000000000000007E-2</v>
      </c>
      <c r="M357" s="1" t="s">
        <v>46</v>
      </c>
      <c r="N357" s="1" t="s">
        <v>473</v>
      </c>
      <c r="O357" s="6" t="s">
        <v>26</v>
      </c>
    </row>
    <row r="358" spans="1:15" x14ac:dyDescent="0.35">
      <c r="A358" t="s">
        <v>739</v>
      </c>
      <c r="B358" s="1" t="s">
        <v>740</v>
      </c>
      <c r="C358" s="1" t="s">
        <v>29</v>
      </c>
      <c r="D358" s="1" t="s">
        <v>80</v>
      </c>
      <c r="E358" s="1" t="s">
        <v>73</v>
      </c>
      <c r="F358" s="1" t="s">
        <v>35</v>
      </c>
      <c r="G358" s="1" t="s">
        <v>23</v>
      </c>
      <c r="H358" s="1">
        <v>34</v>
      </c>
      <c r="I358" s="1" t="str">
        <f t="shared" si="5"/>
        <v>31-45</v>
      </c>
      <c r="J358" s="3">
        <v>44032</v>
      </c>
      <c r="K358" s="4">
        <v>184960</v>
      </c>
      <c r="L358" s="5">
        <v>0.1</v>
      </c>
      <c r="M358" s="1" t="s">
        <v>46</v>
      </c>
      <c r="N358" s="1" t="s">
        <v>476</v>
      </c>
      <c r="O358" s="6" t="s">
        <v>26</v>
      </c>
    </row>
    <row r="359" spans="1:15" x14ac:dyDescent="0.35">
      <c r="A359" t="s">
        <v>741</v>
      </c>
      <c r="B359" s="1" t="s">
        <v>742</v>
      </c>
      <c r="C359" s="1" t="s">
        <v>183</v>
      </c>
      <c r="D359" s="1" t="s">
        <v>3</v>
      </c>
      <c r="E359" s="1" t="s">
        <v>41</v>
      </c>
      <c r="F359" s="1" t="s">
        <v>22</v>
      </c>
      <c r="G359" s="1" t="s">
        <v>23</v>
      </c>
      <c r="H359" s="1">
        <v>33</v>
      </c>
      <c r="I359" s="1" t="str">
        <f t="shared" si="5"/>
        <v>31-45</v>
      </c>
      <c r="J359" s="3">
        <v>44036</v>
      </c>
      <c r="K359" s="4">
        <v>69453</v>
      </c>
      <c r="L359" s="5">
        <v>0.13</v>
      </c>
      <c r="M359" s="1" t="s">
        <v>24</v>
      </c>
      <c r="N359" s="1" t="s">
        <v>479</v>
      </c>
      <c r="O359" s="6" t="s">
        <v>26</v>
      </c>
    </row>
    <row r="360" spans="1:15" x14ac:dyDescent="0.35">
      <c r="A360" t="s">
        <v>743</v>
      </c>
      <c r="B360" s="1" t="s">
        <v>744</v>
      </c>
      <c r="C360" s="1" t="s">
        <v>110</v>
      </c>
      <c r="D360" s="1" t="s">
        <v>187</v>
      </c>
      <c r="E360" s="1" t="s">
        <v>30</v>
      </c>
      <c r="F360" s="1" t="s">
        <v>35</v>
      </c>
      <c r="G360" s="1" t="s">
        <v>23</v>
      </c>
      <c r="H360" s="1">
        <v>63</v>
      </c>
      <c r="I360" s="1" t="str">
        <f t="shared" si="5"/>
        <v>&gt;60</v>
      </c>
      <c r="J360" s="3">
        <v>44038</v>
      </c>
      <c r="K360" s="4">
        <v>216195</v>
      </c>
      <c r="L360" s="5">
        <v>0.14000000000000001</v>
      </c>
      <c r="M360" s="1" t="s">
        <v>24</v>
      </c>
      <c r="N360" s="1" t="s">
        <v>25</v>
      </c>
      <c r="O360" s="6" t="s">
        <v>26</v>
      </c>
    </row>
    <row r="361" spans="1:15" x14ac:dyDescent="0.35">
      <c r="A361" t="s">
        <v>745</v>
      </c>
      <c r="B361" s="1" t="s">
        <v>746</v>
      </c>
      <c r="C361" s="1" t="s">
        <v>29</v>
      </c>
      <c r="D361" s="1" t="s">
        <v>3</v>
      </c>
      <c r="E361" s="1" t="s">
        <v>21</v>
      </c>
      <c r="F361" s="1" t="s">
        <v>35</v>
      </c>
      <c r="G361" s="1" t="s">
        <v>23</v>
      </c>
      <c r="H361" s="1">
        <v>29</v>
      </c>
      <c r="I361" s="1" t="str">
        <f t="shared" si="5"/>
        <v>18-30</v>
      </c>
      <c r="J361" s="3">
        <v>44052</v>
      </c>
      <c r="K361" s="4">
        <v>161203</v>
      </c>
      <c r="L361" s="5">
        <v>0.16</v>
      </c>
      <c r="M361" s="1" t="s">
        <v>24</v>
      </c>
      <c r="N361" s="1" t="s">
        <v>31</v>
      </c>
      <c r="O361" s="6" t="s">
        <v>26</v>
      </c>
    </row>
    <row r="362" spans="1:15" x14ac:dyDescent="0.35">
      <c r="A362" t="s">
        <v>747</v>
      </c>
      <c r="B362" s="1" t="s">
        <v>748</v>
      </c>
      <c r="C362" s="1" t="s">
        <v>250</v>
      </c>
      <c r="D362" s="1" t="s">
        <v>3</v>
      </c>
      <c r="E362" s="1" t="s">
        <v>21</v>
      </c>
      <c r="F362" s="1" t="s">
        <v>22</v>
      </c>
      <c r="G362" s="1" t="s">
        <v>23</v>
      </c>
      <c r="H362" s="1">
        <v>31</v>
      </c>
      <c r="I362" s="1" t="str">
        <f t="shared" si="5"/>
        <v>31-45</v>
      </c>
      <c r="J362" s="3">
        <v>44086</v>
      </c>
      <c r="K362" s="4">
        <v>96567</v>
      </c>
      <c r="L362" s="5">
        <v>0.1</v>
      </c>
      <c r="M362" s="1" t="s">
        <v>36</v>
      </c>
      <c r="N362" s="1" t="s">
        <v>37</v>
      </c>
      <c r="O362" s="6" t="s">
        <v>26</v>
      </c>
    </row>
    <row r="363" spans="1:15" x14ac:dyDescent="0.35">
      <c r="A363" t="s">
        <v>749</v>
      </c>
      <c r="B363" s="1" t="s">
        <v>750</v>
      </c>
      <c r="C363" s="1" t="s">
        <v>29</v>
      </c>
      <c r="D363" s="1" t="s">
        <v>20</v>
      </c>
      <c r="E363" s="1" t="s">
        <v>73</v>
      </c>
      <c r="F363" s="1" t="s">
        <v>35</v>
      </c>
      <c r="G363" s="1" t="s">
        <v>23</v>
      </c>
      <c r="H363" s="1">
        <v>46</v>
      </c>
      <c r="I363" s="1" t="str">
        <f t="shared" si="5"/>
        <v>46-60</v>
      </c>
      <c r="J363" s="3">
        <v>44125</v>
      </c>
      <c r="K363" s="4">
        <v>151853</v>
      </c>
      <c r="L363" s="5">
        <v>0.12</v>
      </c>
      <c r="M363" s="1" t="s">
        <v>24</v>
      </c>
      <c r="N363" s="1" t="s">
        <v>42</v>
      </c>
      <c r="O363" s="6" t="s">
        <v>26</v>
      </c>
    </row>
    <row r="364" spans="1:15" x14ac:dyDescent="0.35">
      <c r="A364" t="s">
        <v>751</v>
      </c>
      <c r="B364" s="1" t="s">
        <v>752</v>
      </c>
      <c r="C364" s="1" t="s">
        <v>110</v>
      </c>
      <c r="D364" s="1" t="s">
        <v>3</v>
      </c>
      <c r="E364" s="1" t="s">
        <v>21</v>
      </c>
      <c r="F364" s="1" t="s">
        <v>22</v>
      </c>
      <c r="G364" s="1" t="s">
        <v>23</v>
      </c>
      <c r="H364" s="1">
        <v>40</v>
      </c>
      <c r="I364" s="1" t="str">
        <f t="shared" si="5"/>
        <v>31-45</v>
      </c>
      <c r="J364" s="3">
        <v>44143</v>
      </c>
      <c r="K364" s="4">
        <v>234469</v>
      </c>
      <c r="L364" s="5">
        <v>0.08</v>
      </c>
      <c r="M364" s="1" t="s">
        <v>46</v>
      </c>
      <c r="N364" s="1" t="s">
        <v>47</v>
      </c>
      <c r="O364" s="6" t="s">
        <v>26</v>
      </c>
    </row>
    <row r="365" spans="1:15" x14ac:dyDescent="0.35">
      <c r="A365" t="s">
        <v>753</v>
      </c>
      <c r="B365" s="1" t="s">
        <v>754</v>
      </c>
      <c r="C365" s="1" t="s">
        <v>169</v>
      </c>
      <c r="D365" s="1" t="s">
        <v>3</v>
      </c>
      <c r="E365" s="1" t="s">
        <v>73</v>
      </c>
      <c r="F365" s="1" t="s">
        <v>35</v>
      </c>
      <c r="G365" s="1" t="s">
        <v>23</v>
      </c>
      <c r="H365" s="1">
        <v>39</v>
      </c>
      <c r="I365" s="1" t="str">
        <f t="shared" si="5"/>
        <v>31-45</v>
      </c>
      <c r="J365" s="3">
        <v>44153</v>
      </c>
      <c r="K365" s="4">
        <v>48415</v>
      </c>
      <c r="L365" s="5">
        <v>0.16</v>
      </c>
      <c r="M365" s="1" t="s">
        <v>51</v>
      </c>
      <c r="N365" s="1" t="s">
        <v>52</v>
      </c>
      <c r="O365" s="6" t="s">
        <v>26</v>
      </c>
    </row>
    <row r="366" spans="1:15" x14ac:dyDescent="0.35">
      <c r="A366" t="s">
        <v>755</v>
      </c>
      <c r="B366" s="1" t="s">
        <v>190</v>
      </c>
      <c r="C366" s="1" t="s">
        <v>469</v>
      </c>
      <c r="D366" s="1" t="s">
        <v>3</v>
      </c>
      <c r="E366" s="1" t="s">
        <v>41</v>
      </c>
      <c r="F366" s="1" t="s">
        <v>22</v>
      </c>
      <c r="G366" s="1" t="s">
        <v>23</v>
      </c>
      <c r="H366" s="1">
        <v>27</v>
      </c>
      <c r="I366" s="1" t="str">
        <f t="shared" si="5"/>
        <v>18-30</v>
      </c>
      <c r="J366" s="3">
        <v>44189</v>
      </c>
      <c r="K366" s="4">
        <v>92321</v>
      </c>
      <c r="L366" s="5">
        <v>7.0000000000000007E-2</v>
      </c>
      <c r="M366" s="1" t="s">
        <v>24</v>
      </c>
      <c r="N366" s="1" t="s">
        <v>57</v>
      </c>
      <c r="O366" s="6" t="s">
        <v>26</v>
      </c>
    </row>
    <row r="367" spans="1:15" x14ac:dyDescent="0.35">
      <c r="A367" t="s">
        <v>756</v>
      </c>
      <c r="B367" s="1" t="s">
        <v>757</v>
      </c>
      <c r="C367" s="1" t="s">
        <v>658</v>
      </c>
      <c r="D367" s="1" t="s">
        <v>20</v>
      </c>
      <c r="E367" s="1" t="s">
        <v>21</v>
      </c>
      <c r="F367" s="1" t="s">
        <v>35</v>
      </c>
      <c r="G367" s="1" t="s">
        <v>23</v>
      </c>
      <c r="H367" s="1">
        <v>46</v>
      </c>
      <c r="I367" s="1" t="str">
        <f t="shared" si="5"/>
        <v>46-60</v>
      </c>
      <c r="J367" s="3">
        <v>44206</v>
      </c>
      <c r="K367" s="4">
        <v>86538</v>
      </c>
      <c r="L367" s="5">
        <v>0.06</v>
      </c>
      <c r="M367" s="1" t="s">
        <v>46</v>
      </c>
      <c r="N367" s="1" t="s">
        <v>62</v>
      </c>
      <c r="O367" s="6" t="s">
        <v>26</v>
      </c>
    </row>
    <row r="368" spans="1:15" x14ac:dyDescent="0.35">
      <c r="A368" t="s">
        <v>758</v>
      </c>
      <c r="B368" s="1" t="s">
        <v>759</v>
      </c>
      <c r="C368" s="1" t="s">
        <v>319</v>
      </c>
      <c r="D368" s="1" t="s">
        <v>1</v>
      </c>
      <c r="E368" s="1" t="s">
        <v>21</v>
      </c>
      <c r="F368" s="1" t="s">
        <v>35</v>
      </c>
      <c r="G368" s="1" t="s">
        <v>23</v>
      </c>
      <c r="H368" s="1">
        <v>46</v>
      </c>
      <c r="I368" s="1" t="str">
        <f t="shared" si="5"/>
        <v>46-60</v>
      </c>
      <c r="J368" s="3">
        <v>44213</v>
      </c>
      <c r="K368" s="4">
        <v>72131</v>
      </c>
      <c r="L368" s="5">
        <v>0.14000000000000001</v>
      </c>
      <c r="M368" s="1" t="s">
        <v>24</v>
      </c>
      <c r="N368" s="1" t="s">
        <v>66</v>
      </c>
      <c r="O368" s="6" t="s">
        <v>26</v>
      </c>
    </row>
    <row r="369" spans="1:15" x14ac:dyDescent="0.35">
      <c r="A369" t="s">
        <v>760</v>
      </c>
      <c r="B369" s="1" t="s">
        <v>761</v>
      </c>
      <c r="C369" s="1" t="s">
        <v>169</v>
      </c>
      <c r="D369" s="1" t="s">
        <v>3</v>
      </c>
      <c r="E369" s="1" t="s">
        <v>41</v>
      </c>
      <c r="F369" s="1" t="s">
        <v>22</v>
      </c>
      <c r="G369" s="1" t="s">
        <v>23</v>
      </c>
      <c r="H369" s="1">
        <v>25</v>
      </c>
      <c r="I369" s="1" t="str">
        <f t="shared" si="5"/>
        <v>18-30</v>
      </c>
      <c r="J369" s="3">
        <v>44213</v>
      </c>
      <c r="K369" s="4">
        <v>41844</v>
      </c>
      <c r="L369" s="5">
        <v>0.06</v>
      </c>
      <c r="M369" s="1" t="s">
        <v>24</v>
      </c>
      <c r="N369" s="1" t="s">
        <v>70</v>
      </c>
      <c r="O369" s="6" t="s">
        <v>26</v>
      </c>
    </row>
    <row r="370" spans="1:15" x14ac:dyDescent="0.35">
      <c r="A370" t="s">
        <v>762</v>
      </c>
      <c r="B370" s="1" t="s">
        <v>763</v>
      </c>
      <c r="C370" s="1" t="s">
        <v>342</v>
      </c>
      <c r="D370" s="1" t="s">
        <v>56</v>
      </c>
      <c r="E370" s="1" t="s">
        <v>73</v>
      </c>
      <c r="F370" s="1" t="s">
        <v>22</v>
      </c>
      <c r="G370" s="1" t="s">
        <v>23</v>
      </c>
      <c r="H370" s="1">
        <v>25</v>
      </c>
      <c r="I370" s="1" t="str">
        <f t="shared" si="5"/>
        <v>18-30</v>
      </c>
      <c r="J370" s="3">
        <v>44217</v>
      </c>
      <c r="K370" s="4">
        <v>67299</v>
      </c>
      <c r="L370" s="5">
        <v>0.06</v>
      </c>
      <c r="M370" s="1" t="s">
        <v>36</v>
      </c>
      <c r="N370" s="1" t="s">
        <v>74</v>
      </c>
      <c r="O370" s="6" t="s">
        <v>26</v>
      </c>
    </row>
    <row r="371" spans="1:15" x14ac:dyDescent="0.35">
      <c r="A371" t="s">
        <v>764</v>
      </c>
      <c r="B371" s="1" t="s">
        <v>765</v>
      </c>
      <c r="C371" s="1" t="s">
        <v>162</v>
      </c>
      <c r="D371" s="1" t="s">
        <v>1</v>
      </c>
      <c r="E371" s="1" t="s">
        <v>21</v>
      </c>
      <c r="F371" s="1" t="s">
        <v>35</v>
      </c>
      <c r="G371" s="1" t="s">
        <v>23</v>
      </c>
      <c r="H371" s="1">
        <v>33</v>
      </c>
      <c r="I371" s="1" t="str">
        <f t="shared" si="5"/>
        <v>31-45</v>
      </c>
      <c r="J371" s="3">
        <v>44218</v>
      </c>
      <c r="K371" s="4">
        <v>56405</v>
      </c>
      <c r="L371" s="5">
        <v>0.06</v>
      </c>
      <c r="M371" s="1" t="s">
        <v>24</v>
      </c>
      <c r="N371" s="1" t="s">
        <v>77</v>
      </c>
      <c r="O371" s="6" t="s">
        <v>26</v>
      </c>
    </row>
    <row r="372" spans="1:15" x14ac:dyDescent="0.35">
      <c r="A372" t="s">
        <v>766</v>
      </c>
      <c r="B372" s="1" t="s">
        <v>767</v>
      </c>
      <c r="C372" s="1" t="s">
        <v>110</v>
      </c>
      <c r="D372" s="1" t="s">
        <v>187</v>
      </c>
      <c r="E372" s="1" t="s">
        <v>41</v>
      </c>
      <c r="F372" s="1" t="s">
        <v>22</v>
      </c>
      <c r="G372" s="1" t="s">
        <v>23</v>
      </c>
      <c r="H372" s="1">
        <v>25</v>
      </c>
      <c r="I372" s="1" t="str">
        <f t="shared" si="5"/>
        <v>18-30</v>
      </c>
      <c r="J372" s="3">
        <v>44235</v>
      </c>
      <c r="K372" s="4">
        <v>198243</v>
      </c>
      <c r="L372" s="5">
        <v>0.14000000000000001</v>
      </c>
      <c r="M372" s="1" t="s">
        <v>46</v>
      </c>
      <c r="N372" s="1" t="s">
        <v>81</v>
      </c>
      <c r="O372" s="6" t="s">
        <v>26</v>
      </c>
    </row>
    <row r="373" spans="1:15" x14ac:dyDescent="0.35">
      <c r="A373" t="s">
        <v>768</v>
      </c>
      <c r="B373" s="1" t="s">
        <v>769</v>
      </c>
      <c r="C373" s="1" t="s">
        <v>2</v>
      </c>
      <c r="D373" s="1" t="s">
        <v>1</v>
      </c>
      <c r="E373" s="1" t="s">
        <v>21</v>
      </c>
      <c r="F373" s="1" t="s">
        <v>35</v>
      </c>
      <c r="G373" s="1" t="s">
        <v>23</v>
      </c>
      <c r="H373" s="1">
        <v>30</v>
      </c>
      <c r="I373" s="1" t="str">
        <f t="shared" si="5"/>
        <v>18-30</v>
      </c>
      <c r="J373" s="3">
        <v>44241</v>
      </c>
      <c r="K373" s="4">
        <v>48340</v>
      </c>
      <c r="L373" s="5">
        <v>0.09</v>
      </c>
      <c r="M373" s="1" t="s">
        <v>24</v>
      </c>
      <c r="N373" s="1" t="s">
        <v>84</v>
      </c>
      <c r="O373" s="6" t="s">
        <v>26</v>
      </c>
    </row>
    <row r="374" spans="1:15" x14ac:dyDescent="0.35">
      <c r="A374" t="s">
        <v>770</v>
      </c>
      <c r="B374" s="1" t="s">
        <v>771</v>
      </c>
      <c r="C374" s="1" t="s">
        <v>29</v>
      </c>
      <c r="D374" s="1" t="s">
        <v>56</v>
      </c>
      <c r="E374" s="1" t="s">
        <v>30</v>
      </c>
      <c r="F374" s="1" t="s">
        <v>35</v>
      </c>
      <c r="G374" s="1" t="s">
        <v>23</v>
      </c>
      <c r="H374" s="1">
        <v>27</v>
      </c>
      <c r="I374" s="1" t="str">
        <f t="shared" si="5"/>
        <v>18-30</v>
      </c>
      <c r="J374" s="3">
        <v>44250</v>
      </c>
      <c r="K374" s="4">
        <v>199041</v>
      </c>
      <c r="L374" s="5">
        <v>0.13</v>
      </c>
      <c r="M374" s="1" t="s">
        <v>36</v>
      </c>
      <c r="N374" s="1" t="s">
        <v>87</v>
      </c>
      <c r="O374" s="6" t="s">
        <v>26</v>
      </c>
    </row>
    <row r="375" spans="1:15" x14ac:dyDescent="0.35">
      <c r="A375" t="s">
        <v>772</v>
      </c>
      <c r="B375" s="1" t="s">
        <v>773</v>
      </c>
      <c r="C375" s="1" t="s">
        <v>2</v>
      </c>
      <c r="D375" s="1" t="s">
        <v>61</v>
      </c>
      <c r="E375" s="1" t="s">
        <v>21</v>
      </c>
      <c r="F375" s="1" t="s">
        <v>35</v>
      </c>
      <c r="G375" s="1" t="s">
        <v>23</v>
      </c>
      <c r="H375" s="1">
        <v>40</v>
      </c>
      <c r="I375" s="1" t="str">
        <f t="shared" si="5"/>
        <v>31-45</v>
      </c>
      <c r="J375" s="3">
        <v>44251</v>
      </c>
      <c r="K375" s="4">
        <v>46833</v>
      </c>
      <c r="L375" s="5">
        <v>0.06</v>
      </c>
      <c r="M375" s="1" t="s">
        <v>24</v>
      </c>
      <c r="N375" s="1" t="s">
        <v>90</v>
      </c>
      <c r="O375" s="6">
        <v>44510</v>
      </c>
    </row>
    <row r="376" spans="1:15" x14ac:dyDescent="0.35">
      <c r="A376" t="s">
        <v>774</v>
      </c>
      <c r="B376" s="1" t="s">
        <v>775</v>
      </c>
      <c r="C376" s="1" t="s">
        <v>102</v>
      </c>
      <c r="D376" s="1" t="s">
        <v>61</v>
      </c>
      <c r="E376" s="1" t="s">
        <v>21</v>
      </c>
      <c r="F376" s="1" t="s">
        <v>22</v>
      </c>
      <c r="G376" s="1" t="s">
        <v>23</v>
      </c>
      <c r="H376" s="1">
        <v>45</v>
      </c>
      <c r="I376" s="1" t="str">
        <f t="shared" si="5"/>
        <v>31-45</v>
      </c>
      <c r="J376" s="3">
        <v>44266</v>
      </c>
      <c r="K376" s="4">
        <v>135062</v>
      </c>
      <c r="L376" s="5">
        <v>0.16</v>
      </c>
      <c r="M376" s="1" t="s">
        <v>46</v>
      </c>
      <c r="N376" s="1" t="s">
        <v>93</v>
      </c>
      <c r="O376" s="6" t="s">
        <v>26</v>
      </c>
    </row>
    <row r="377" spans="1:15" x14ac:dyDescent="0.35">
      <c r="A377" t="s">
        <v>776</v>
      </c>
      <c r="B377" s="1" t="s">
        <v>777</v>
      </c>
      <c r="C377" s="1" t="s">
        <v>106</v>
      </c>
      <c r="D377" s="1" t="s">
        <v>56</v>
      </c>
      <c r="E377" s="1" t="s">
        <v>41</v>
      </c>
      <c r="F377" s="1" t="s">
        <v>35</v>
      </c>
      <c r="G377" s="1" t="s">
        <v>23</v>
      </c>
      <c r="H377" s="1">
        <v>25</v>
      </c>
      <c r="I377" s="1" t="str">
        <f t="shared" si="5"/>
        <v>18-30</v>
      </c>
      <c r="J377" s="3">
        <v>44270</v>
      </c>
      <c r="K377" s="4">
        <v>47974</v>
      </c>
      <c r="L377" s="5">
        <v>0.05</v>
      </c>
      <c r="M377" s="1" t="s">
        <v>24</v>
      </c>
      <c r="N377" s="1" t="s">
        <v>96</v>
      </c>
      <c r="O377" s="6" t="s">
        <v>26</v>
      </c>
    </row>
    <row r="378" spans="1:15" x14ac:dyDescent="0.35">
      <c r="A378" t="s">
        <v>778</v>
      </c>
      <c r="B378" s="1" t="s">
        <v>779</v>
      </c>
      <c r="C378" s="1" t="s">
        <v>162</v>
      </c>
      <c r="D378" s="1" t="s">
        <v>1</v>
      </c>
      <c r="E378" s="1" t="s">
        <v>21</v>
      </c>
      <c r="F378" s="1" t="s">
        <v>35</v>
      </c>
      <c r="G378" s="1" t="s">
        <v>23</v>
      </c>
      <c r="H378" s="1">
        <v>54</v>
      </c>
      <c r="I378" s="1" t="str">
        <f t="shared" si="5"/>
        <v>46-60</v>
      </c>
      <c r="J378" s="3">
        <v>44271</v>
      </c>
      <c r="K378" s="4">
        <v>56239</v>
      </c>
      <c r="L378" s="5">
        <v>0.11</v>
      </c>
      <c r="M378" s="1" t="s">
        <v>24</v>
      </c>
      <c r="N378" s="1" t="s">
        <v>99</v>
      </c>
      <c r="O378" s="6" t="s">
        <v>26</v>
      </c>
    </row>
    <row r="379" spans="1:15" x14ac:dyDescent="0.35">
      <c r="A379" t="s">
        <v>780</v>
      </c>
      <c r="B379" s="1" t="s">
        <v>781</v>
      </c>
      <c r="C379" s="1" t="s">
        <v>60</v>
      </c>
      <c r="D379" s="1" t="s">
        <v>1</v>
      </c>
      <c r="E379" s="1" t="s">
        <v>30</v>
      </c>
      <c r="F379" s="1" t="s">
        <v>22</v>
      </c>
      <c r="G379" s="1" t="s">
        <v>23</v>
      </c>
      <c r="H379" s="1">
        <v>28</v>
      </c>
      <c r="I379" s="1" t="str">
        <f t="shared" si="5"/>
        <v>18-30</v>
      </c>
      <c r="J379" s="3">
        <v>44274</v>
      </c>
      <c r="K379" s="4">
        <v>127543</v>
      </c>
      <c r="L379" s="5">
        <v>0.13</v>
      </c>
      <c r="M379" s="1" t="s">
        <v>46</v>
      </c>
      <c r="N379" s="1" t="s">
        <v>103</v>
      </c>
      <c r="O379" s="6" t="s">
        <v>26</v>
      </c>
    </row>
    <row r="380" spans="1:15" x14ac:dyDescent="0.35">
      <c r="A380" t="s">
        <v>782</v>
      </c>
      <c r="B380" s="1" t="s">
        <v>783</v>
      </c>
      <c r="C380" s="1" t="s">
        <v>102</v>
      </c>
      <c r="D380" s="1" t="s">
        <v>56</v>
      </c>
      <c r="E380" s="1" t="s">
        <v>73</v>
      </c>
      <c r="F380" s="1" t="s">
        <v>22</v>
      </c>
      <c r="G380" s="1" t="s">
        <v>23</v>
      </c>
      <c r="H380" s="1">
        <v>27</v>
      </c>
      <c r="I380" s="1" t="str">
        <f t="shared" si="5"/>
        <v>18-30</v>
      </c>
      <c r="J380" s="3">
        <v>44302</v>
      </c>
      <c r="K380" s="4">
        <v>133400</v>
      </c>
      <c r="L380" s="5">
        <v>0.05</v>
      </c>
      <c r="M380" s="1" t="s">
        <v>24</v>
      </c>
      <c r="N380" s="1" t="s">
        <v>107</v>
      </c>
      <c r="O380" s="6" t="s">
        <v>26</v>
      </c>
    </row>
    <row r="381" spans="1:15" x14ac:dyDescent="0.35">
      <c r="A381" t="s">
        <v>784</v>
      </c>
      <c r="B381" s="1" t="s">
        <v>785</v>
      </c>
      <c r="C381" s="1" t="s">
        <v>102</v>
      </c>
      <c r="D381" s="1" t="s">
        <v>80</v>
      </c>
      <c r="E381" s="1" t="s">
        <v>21</v>
      </c>
      <c r="F381" s="1" t="s">
        <v>22</v>
      </c>
      <c r="G381" s="1" t="s">
        <v>23</v>
      </c>
      <c r="H381" s="1">
        <v>43</v>
      </c>
      <c r="I381" s="1" t="str">
        <f t="shared" si="5"/>
        <v>31-45</v>
      </c>
      <c r="J381" s="3">
        <v>44303</v>
      </c>
      <c r="K381" s="4">
        <v>146140</v>
      </c>
      <c r="L381" s="5">
        <v>0.14000000000000001</v>
      </c>
      <c r="M381" s="1" t="s">
        <v>24</v>
      </c>
      <c r="N381" s="1" t="s">
        <v>111</v>
      </c>
      <c r="O381" s="6" t="s">
        <v>26</v>
      </c>
    </row>
    <row r="382" spans="1:15" x14ac:dyDescent="0.35">
      <c r="A382" t="s">
        <v>786</v>
      </c>
      <c r="B382" s="1" t="s">
        <v>347</v>
      </c>
      <c r="C382" s="1" t="s">
        <v>29</v>
      </c>
      <c r="D382" s="1" t="s">
        <v>80</v>
      </c>
      <c r="E382" s="1" t="s">
        <v>21</v>
      </c>
      <c r="F382" s="1" t="s">
        <v>35</v>
      </c>
      <c r="G382" s="1" t="s">
        <v>23</v>
      </c>
      <c r="H382" s="1">
        <v>25</v>
      </c>
      <c r="I382" s="1" t="str">
        <f t="shared" si="5"/>
        <v>18-30</v>
      </c>
      <c r="J382" s="3">
        <v>44303</v>
      </c>
      <c r="K382" s="4">
        <v>186870</v>
      </c>
      <c r="L382" s="5">
        <v>0.17</v>
      </c>
      <c r="M382" s="1" t="s">
        <v>46</v>
      </c>
      <c r="N382" s="1" t="s">
        <v>114</v>
      </c>
      <c r="O382" s="6" t="s">
        <v>26</v>
      </c>
    </row>
    <row r="383" spans="1:15" x14ac:dyDescent="0.35">
      <c r="A383" t="s">
        <v>787</v>
      </c>
      <c r="B383" s="1" t="s">
        <v>788</v>
      </c>
      <c r="C383" s="1" t="s">
        <v>45</v>
      </c>
      <c r="D383" s="1" t="s">
        <v>187</v>
      </c>
      <c r="E383" s="1" t="s">
        <v>41</v>
      </c>
      <c r="F383" s="1" t="s">
        <v>35</v>
      </c>
      <c r="G383" s="1" t="s">
        <v>23</v>
      </c>
      <c r="H383" s="1">
        <v>44</v>
      </c>
      <c r="I383" s="1" t="str">
        <f t="shared" si="5"/>
        <v>31-45</v>
      </c>
      <c r="J383" s="3">
        <v>44314</v>
      </c>
      <c r="K383" s="4">
        <v>98520</v>
      </c>
      <c r="L383" s="5">
        <v>0.05</v>
      </c>
      <c r="M383" s="1" t="s">
        <v>24</v>
      </c>
      <c r="N383" s="1" t="s">
        <v>117</v>
      </c>
      <c r="O383" s="6" t="s">
        <v>26</v>
      </c>
    </row>
    <row r="384" spans="1:15" x14ac:dyDescent="0.35">
      <c r="A384" t="s">
        <v>789</v>
      </c>
      <c r="B384" s="1" t="s">
        <v>790</v>
      </c>
      <c r="C384" s="1" t="s">
        <v>102</v>
      </c>
      <c r="D384" s="1" t="s">
        <v>80</v>
      </c>
      <c r="E384" s="1" t="s">
        <v>21</v>
      </c>
      <c r="F384" s="1" t="s">
        <v>35</v>
      </c>
      <c r="G384" s="1" t="s">
        <v>23</v>
      </c>
      <c r="H384" s="1">
        <v>51</v>
      </c>
      <c r="I384" s="1" t="str">
        <f t="shared" si="5"/>
        <v>46-60</v>
      </c>
      <c r="J384" s="3">
        <v>44357</v>
      </c>
      <c r="K384" s="4">
        <v>146742</v>
      </c>
      <c r="L384" s="5">
        <v>0.1</v>
      </c>
      <c r="M384" s="1" t="s">
        <v>24</v>
      </c>
      <c r="N384" s="1" t="s">
        <v>120</v>
      </c>
      <c r="O384" s="6" t="s">
        <v>26</v>
      </c>
    </row>
    <row r="385" spans="1:15" x14ac:dyDescent="0.35">
      <c r="A385" t="s">
        <v>791</v>
      </c>
      <c r="B385" s="1" t="s">
        <v>792</v>
      </c>
      <c r="C385" s="1" t="s">
        <v>102</v>
      </c>
      <c r="D385" s="1" t="s">
        <v>1</v>
      </c>
      <c r="E385" s="1" t="s">
        <v>41</v>
      </c>
      <c r="F385" s="1" t="s">
        <v>22</v>
      </c>
      <c r="G385" s="1" t="s">
        <v>23</v>
      </c>
      <c r="H385" s="1">
        <v>25</v>
      </c>
      <c r="I385" s="1" t="str">
        <f t="shared" si="5"/>
        <v>18-30</v>
      </c>
      <c r="J385" s="3">
        <v>44362</v>
      </c>
      <c r="K385" s="4">
        <v>142731</v>
      </c>
      <c r="L385" s="5">
        <v>0.13</v>
      </c>
      <c r="M385" s="1" t="s">
        <v>46</v>
      </c>
      <c r="N385" s="1" t="s">
        <v>124</v>
      </c>
      <c r="O385" s="6">
        <v>44715</v>
      </c>
    </row>
    <row r="386" spans="1:15" x14ac:dyDescent="0.35">
      <c r="A386" t="s">
        <v>793</v>
      </c>
      <c r="B386" s="1" t="s">
        <v>794</v>
      </c>
      <c r="C386" s="1" t="s">
        <v>130</v>
      </c>
      <c r="D386" s="1" t="s">
        <v>20</v>
      </c>
      <c r="E386" s="1" t="s">
        <v>30</v>
      </c>
      <c r="F386" s="1" t="s">
        <v>35</v>
      </c>
      <c r="G386" s="1" t="s">
        <v>23</v>
      </c>
      <c r="H386" s="1">
        <v>25</v>
      </c>
      <c r="I386" s="1" t="str">
        <f t="shared" si="5"/>
        <v>18-30</v>
      </c>
      <c r="J386" s="3">
        <v>44370</v>
      </c>
      <c r="K386" s="4">
        <v>86464</v>
      </c>
      <c r="L386" s="5">
        <v>7.0000000000000007E-2</v>
      </c>
      <c r="M386" s="1" t="s">
        <v>24</v>
      </c>
      <c r="N386" s="1" t="s">
        <v>127</v>
      </c>
      <c r="O386" s="6" t="s">
        <v>26</v>
      </c>
    </row>
    <row r="387" spans="1:15" x14ac:dyDescent="0.35">
      <c r="A387" t="s">
        <v>795</v>
      </c>
      <c r="B387" s="1" t="s">
        <v>796</v>
      </c>
      <c r="C387" s="1" t="s">
        <v>250</v>
      </c>
      <c r="D387" s="1" t="s">
        <v>3</v>
      </c>
      <c r="E387" s="1" t="s">
        <v>30</v>
      </c>
      <c r="F387" s="1" t="s">
        <v>22</v>
      </c>
      <c r="G387" s="1" t="s">
        <v>23</v>
      </c>
      <c r="H387" s="1">
        <v>29</v>
      </c>
      <c r="I387" s="1" t="str">
        <f t="shared" ref="I387:I450" si="6">IF(H387&gt;=60,"&gt;60",IF(H387&gt;=46,"46-60",IF(H387&gt;=31,"31-45",IF(H387&gt;18,"18-30",""))))</f>
        <v>18-30</v>
      </c>
      <c r="J387" s="3">
        <v>44375</v>
      </c>
      <c r="K387" s="4">
        <v>71234</v>
      </c>
      <c r="L387" s="5">
        <v>0.06</v>
      </c>
      <c r="M387" s="1" t="s">
        <v>46</v>
      </c>
      <c r="N387" s="1" t="s">
        <v>131</v>
      </c>
      <c r="O387" s="6" t="s">
        <v>26</v>
      </c>
    </row>
    <row r="388" spans="1:15" x14ac:dyDescent="0.35">
      <c r="A388" t="s">
        <v>797</v>
      </c>
      <c r="B388" s="1" t="s">
        <v>798</v>
      </c>
      <c r="C388" s="1" t="s">
        <v>102</v>
      </c>
      <c r="D388" s="1" t="s">
        <v>3</v>
      </c>
      <c r="E388" s="1" t="s">
        <v>41</v>
      </c>
      <c r="F388" s="1" t="s">
        <v>35</v>
      </c>
      <c r="G388" s="1" t="s">
        <v>23</v>
      </c>
      <c r="H388" s="1">
        <v>25</v>
      </c>
      <c r="I388" s="1" t="str">
        <f t="shared" si="6"/>
        <v>18-30</v>
      </c>
      <c r="J388" s="3">
        <v>44379</v>
      </c>
      <c r="K388" s="4">
        <v>125633</v>
      </c>
      <c r="L388" s="5">
        <v>0.08</v>
      </c>
      <c r="M388" s="1" t="s">
        <v>24</v>
      </c>
      <c r="N388" s="1" t="s">
        <v>134</v>
      </c>
      <c r="O388" s="6" t="s">
        <v>26</v>
      </c>
    </row>
    <row r="389" spans="1:15" x14ac:dyDescent="0.35">
      <c r="A389" t="s">
        <v>799</v>
      </c>
      <c r="B389" s="1" t="s">
        <v>264</v>
      </c>
      <c r="C389" s="1" t="s">
        <v>446</v>
      </c>
      <c r="D389" s="1" t="s">
        <v>20</v>
      </c>
      <c r="E389" s="1" t="s">
        <v>73</v>
      </c>
      <c r="F389" s="1" t="s">
        <v>22</v>
      </c>
      <c r="G389" s="1" t="s">
        <v>23</v>
      </c>
      <c r="H389" s="1">
        <v>25</v>
      </c>
      <c r="I389" s="1" t="str">
        <f t="shared" si="6"/>
        <v>18-30</v>
      </c>
      <c r="J389" s="3">
        <v>44385</v>
      </c>
      <c r="K389" s="4">
        <v>67275</v>
      </c>
      <c r="L389" s="5">
        <v>0.1</v>
      </c>
      <c r="M389" s="1" t="s">
        <v>24</v>
      </c>
      <c r="N389" s="1" t="s">
        <v>138</v>
      </c>
      <c r="O389" s="6" t="s">
        <v>26</v>
      </c>
    </row>
    <row r="390" spans="1:15" x14ac:dyDescent="0.35">
      <c r="A390" t="s">
        <v>800</v>
      </c>
      <c r="B390" s="1" t="s">
        <v>801</v>
      </c>
      <c r="C390" s="1" t="s">
        <v>102</v>
      </c>
      <c r="D390" s="1" t="s">
        <v>61</v>
      </c>
      <c r="E390" s="1" t="s">
        <v>41</v>
      </c>
      <c r="F390" s="1" t="s">
        <v>22</v>
      </c>
      <c r="G390" s="1" t="s">
        <v>23</v>
      </c>
      <c r="H390" s="1">
        <v>60</v>
      </c>
      <c r="I390" s="1" t="str">
        <f t="shared" si="6"/>
        <v>&gt;60</v>
      </c>
      <c r="J390" s="3">
        <v>44403</v>
      </c>
      <c r="K390" s="4">
        <v>121480</v>
      </c>
      <c r="L390" s="5">
        <v>0.12</v>
      </c>
      <c r="M390" s="1" t="s">
        <v>24</v>
      </c>
      <c r="N390" s="1" t="s">
        <v>141</v>
      </c>
      <c r="O390" s="6" t="s">
        <v>26</v>
      </c>
    </row>
    <row r="391" spans="1:15" x14ac:dyDescent="0.35">
      <c r="A391" t="s">
        <v>802</v>
      </c>
      <c r="B391" s="1" t="s">
        <v>803</v>
      </c>
      <c r="C391" s="1" t="s">
        <v>2</v>
      </c>
      <c r="D391" s="1" t="s">
        <v>1</v>
      </c>
      <c r="E391" s="1" t="s">
        <v>73</v>
      </c>
      <c r="F391" s="1" t="s">
        <v>22</v>
      </c>
      <c r="G391" s="1" t="s">
        <v>23</v>
      </c>
      <c r="H391" s="1">
        <v>25</v>
      </c>
      <c r="I391" s="1" t="str">
        <f t="shared" si="6"/>
        <v>18-30</v>
      </c>
      <c r="J391" s="3">
        <v>44405</v>
      </c>
      <c r="K391" s="4">
        <v>46845</v>
      </c>
      <c r="L391" s="5">
        <v>0.06</v>
      </c>
      <c r="M391" s="1" t="s">
        <v>36</v>
      </c>
      <c r="N391" s="1" t="s">
        <v>145</v>
      </c>
      <c r="O391" s="6" t="s">
        <v>26</v>
      </c>
    </row>
    <row r="392" spans="1:15" x14ac:dyDescent="0.35">
      <c r="A392" t="s">
        <v>804</v>
      </c>
      <c r="B392" s="1" t="s">
        <v>478</v>
      </c>
      <c r="C392" s="1" t="s">
        <v>144</v>
      </c>
      <c r="D392" s="1" t="s">
        <v>1</v>
      </c>
      <c r="E392" s="1" t="s">
        <v>73</v>
      </c>
      <c r="F392" s="1" t="s">
        <v>22</v>
      </c>
      <c r="G392" s="1" t="s">
        <v>23</v>
      </c>
      <c r="H392" s="1">
        <v>55</v>
      </c>
      <c r="I392" s="1" t="str">
        <f t="shared" si="6"/>
        <v>46-60</v>
      </c>
      <c r="J392" s="3">
        <v>44410</v>
      </c>
      <c r="K392" s="4">
        <v>67130</v>
      </c>
      <c r="L392" s="5">
        <v>0.11</v>
      </c>
      <c r="M392" s="1" t="s">
        <v>24</v>
      </c>
      <c r="N392" s="1" t="s">
        <v>148</v>
      </c>
      <c r="O392" s="6" t="s">
        <v>26</v>
      </c>
    </row>
    <row r="393" spans="1:15" x14ac:dyDescent="0.35">
      <c r="A393" t="s">
        <v>805</v>
      </c>
      <c r="B393" s="1" t="s">
        <v>806</v>
      </c>
      <c r="C393" s="1" t="s">
        <v>110</v>
      </c>
      <c r="D393" s="1" t="s">
        <v>61</v>
      </c>
      <c r="E393" s="1" t="s">
        <v>73</v>
      </c>
      <c r="F393" s="1" t="s">
        <v>22</v>
      </c>
      <c r="G393" s="1" t="s">
        <v>23</v>
      </c>
      <c r="H393" s="1">
        <v>38</v>
      </c>
      <c r="I393" s="1" t="str">
        <f t="shared" si="6"/>
        <v>31-45</v>
      </c>
      <c r="J393" s="3">
        <v>44433</v>
      </c>
      <c r="K393" s="4">
        <v>255230</v>
      </c>
      <c r="L393" s="5">
        <v>0.14000000000000001</v>
      </c>
      <c r="M393" s="1" t="s">
        <v>24</v>
      </c>
      <c r="N393" s="1" t="s">
        <v>117</v>
      </c>
      <c r="O393" s="6" t="s">
        <v>26</v>
      </c>
    </row>
    <row r="394" spans="1:15" x14ac:dyDescent="0.35">
      <c r="A394" t="s">
        <v>807</v>
      </c>
      <c r="B394" s="1" t="s">
        <v>808</v>
      </c>
      <c r="C394" s="1" t="s">
        <v>65</v>
      </c>
      <c r="D394" s="1" t="s">
        <v>3</v>
      </c>
      <c r="E394" s="1" t="s">
        <v>41</v>
      </c>
      <c r="F394" s="1" t="s">
        <v>35</v>
      </c>
      <c r="G394" s="1" t="s">
        <v>23</v>
      </c>
      <c r="H394" s="1">
        <v>50</v>
      </c>
      <c r="I394" s="1" t="str">
        <f t="shared" si="6"/>
        <v>46-60</v>
      </c>
      <c r="J394" s="3">
        <v>44445</v>
      </c>
      <c r="K394" s="4">
        <v>83418</v>
      </c>
      <c r="L394" s="5">
        <v>0.16</v>
      </c>
      <c r="M394" s="1" t="s">
        <v>46</v>
      </c>
      <c r="N394" s="1" t="s">
        <v>153</v>
      </c>
      <c r="O394" s="6" t="s">
        <v>26</v>
      </c>
    </row>
    <row r="395" spans="1:15" x14ac:dyDescent="0.35">
      <c r="A395" t="s">
        <v>809</v>
      </c>
      <c r="B395" s="1" t="s">
        <v>810</v>
      </c>
      <c r="C395" s="1" t="s">
        <v>102</v>
      </c>
      <c r="D395" s="1" t="s">
        <v>61</v>
      </c>
      <c r="E395" s="1" t="s">
        <v>41</v>
      </c>
      <c r="F395" s="1" t="s">
        <v>35</v>
      </c>
      <c r="G395" s="1" t="s">
        <v>23</v>
      </c>
      <c r="H395" s="1">
        <v>25</v>
      </c>
      <c r="I395" s="1" t="str">
        <f t="shared" si="6"/>
        <v>18-30</v>
      </c>
      <c r="J395" s="3">
        <v>44453</v>
      </c>
      <c r="K395" s="4">
        <v>136810</v>
      </c>
      <c r="L395" s="5">
        <v>0.08</v>
      </c>
      <c r="M395" s="1" t="s">
        <v>24</v>
      </c>
      <c r="N395" s="1" t="s">
        <v>156</v>
      </c>
      <c r="O395" s="6" t="s">
        <v>26</v>
      </c>
    </row>
    <row r="396" spans="1:15" x14ac:dyDescent="0.35">
      <c r="A396" t="s">
        <v>811</v>
      </c>
      <c r="B396" s="1" t="s">
        <v>293</v>
      </c>
      <c r="C396" s="1" t="s">
        <v>29</v>
      </c>
      <c r="D396" s="1" t="s">
        <v>61</v>
      </c>
      <c r="E396" s="1" t="s">
        <v>21</v>
      </c>
      <c r="F396" s="1" t="s">
        <v>22</v>
      </c>
      <c r="G396" s="1" t="s">
        <v>23</v>
      </c>
      <c r="H396" s="1">
        <v>29</v>
      </c>
      <c r="I396" s="1" t="str">
        <f t="shared" si="6"/>
        <v>18-30</v>
      </c>
      <c r="J396" s="3">
        <v>44454</v>
      </c>
      <c r="K396" s="4">
        <v>199783</v>
      </c>
      <c r="L396" s="5">
        <v>7.0000000000000007E-2</v>
      </c>
      <c r="M396" s="1" t="s">
        <v>36</v>
      </c>
      <c r="N396" s="1" t="s">
        <v>159</v>
      </c>
      <c r="O396" s="6">
        <v>44661</v>
      </c>
    </row>
    <row r="397" spans="1:15" x14ac:dyDescent="0.35">
      <c r="A397" t="s">
        <v>812</v>
      </c>
      <c r="B397" s="1" t="s">
        <v>813</v>
      </c>
      <c r="C397" s="1" t="s">
        <v>110</v>
      </c>
      <c r="D397" s="1" t="s">
        <v>56</v>
      </c>
      <c r="E397" s="1" t="s">
        <v>73</v>
      </c>
      <c r="F397" s="1" t="s">
        <v>35</v>
      </c>
      <c r="G397" s="1" t="s">
        <v>23</v>
      </c>
      <c r="H397" s="1">
        <v>45</v>
      </c>
      <c r="I397" s="1" t="str">
        <f t="shared" si="6"/>
        <v>31-45</v>
      </c>
      <c r="J397" s="3">
        <v>44461</v>
      </c>
      <c r="K397" s="4">
        <v>201396</v>
      </c>
      <c r="L397" s="5">
        <v>0.06</v>
      </c>
      <c r="M397" s="1" t="s">
        <v>24</v>
      </c>
      <c r="N397" s="1" t="s">
        <v>163</v>
      </c>
      <c r="O397" s="6" t="s">
        <v>26</v>
      </c>
    </row>
    <row r="398" spans="1:15" x14ac:dyDescent="0.35">
      <c r="A398" t="s">
        <v>814</v>
      </c>
      <c r="B398" s="1" t="s">
        <v>815</v>
      </c>
      <c r="C398" s="1" t="s">
        <v>34</v>
      </c>
      <c r="D398" s="1" t="s">
        <v>3</v>
      </c>
      <c r="E398" s="1" t="s">
        <v>21</v>
      </c>
      <c r="F398" s="1" t="s">
        <v>22</v>
      </c>
      <c r="G398" s="1" t="s">
        <v>23</v>
      </c>
      <c r="H398" s="1">
        <v>46</v>
      </c>
      <c r="I398" s="1" t="str">
        <f t="shared" si="6"/>
        <v>46-60</v>
      </c>
      <c r="J398" s="3">
        <v>44495</v>
      </c>
      <c r="K398" s="4">
        <v>94790</v>
      </c>
      <c r="L398" s="5">
        <v>0.1</v>
      </c>
      <c r="M398" s="1" t="s">
        <v>24</v>
      </c>
      <c r="N398" s="1" t="s">
        <v>166</v>
      </c>
      <c r="O398" s="6" t="s">
        <v>26</v>
      </c>
    </row>
    <row r="399" spans="1:15" x14ac:dyDescent="0.35">
      <c r="A399" t="s">
        <v>816</v>
      </c>
      <c r="B399" s="1" t="s">
        <v>817</v>
      </c>
      <c r="C399" s="1" t="s">
        <v>234</v>
      </c>
      <c r="D399" s="1" t="s">
        <v>20</v>
      </c>
      <c r="E399" s="1" t="s">
        <v>73</v>
      </c>
      <c r="F399" s="1" t="s">
        <v>22</v>
      </c>
      <c r="G399" s="1" t="s">
        <v>23</v>
      </c>
      <c r="H399" s="1">
        <v>29</v>
      </c>
      <c r="I399" s="1" t="str">
        <f t="shared" si="6"/>
        <v>18-30</v>
      </c>
      <c r="J399" s="3">
        <v>44515</v>
      </c>
      <c r="K399" s="4">
        <v>91782</v>
      </c>
      <c r="L399" s="5">
        <v>0.15</v>
      </c>
      <c r="M399" s="1" t="s">
        <v>36</v>
      </c>
      <c r="N399" s="1" t="s">
        <v>170</v>
      </c>
      <c r="O399" s="6" t="s">
        <v>26</v>
      </c>
    </row>
    <row r="400" spans="1:15" x14ac:dyDescent="0.35">
      <c r="A400" t="s">
        <v>818</v>
      </c>
      <c r="B400" s="1" t="s">
        <v>819</v>
      </c>
      <c r="C400" s="1" t="s">
        <v>110</v>
      </c>
      <c r="D400" s="1" t="s">
        <v>80</v>
      </c>
      <c r="E400" s="1" t="s">
        <v>21</v>
      </c>
      <c r="F400" s="1" t="s">
        <v>35</v>
      </c>
      <c r="G400" s="1" t="s">
        <v>23</v>
      </c>
      <c r="H400" s="1">
        <v>25</v>
      </c>
      <c r="I400" s="1" t="str">
        <f t="shared" si="6"/>
        <v>18-30</v>
      </c>
      <c r="J400" s="3">
        <v>44515</v>
      </c>
      <c r="K400" s="4">
        <v>210708</v>
      </c>
      <c r="L400" s="5">
        <v>0.06</v>
      </c>
      <c r="M400" s="1" t="s">
        <v>24</v>
      </c>
      <c r="N400" s="1" t="s">
        <v>173</v>
      </c>
      <c r="O400" s="6" t="s">
        <v>26</v>
      </c>
    </row>
    <row r="401" spans="1:15" x14ac:dyDescent="0.35">
      <c r="A401" t="s">
        <v>820</v>
      </c>
      <c r="B401" s="1" t="s">
        <v>821</v>
      </c>
      <c r="C401" s="1" t="s">
        <v>60</v>
      </c>
      <c r="D401" s="1" t="s">
        <v>187</v>
      </c>
      <c r="E401" s="1" t="s">
        <v>30</v>
      </c>
      <c r="F401" s="1" t="s">
        <v>35</v>
      </c>
      <c r="G401" s="1" t="s">
        <v>23</v>
      </c>
      <c r="H401" s="1">
        <v>52</v>
      </c>
      <c r="I401" s="1" t="str">
        <f t="shared" si="6"/>
        <v>46-60</v>
      </c>
      <c r="J401" s="3">
        <v>44519</v>
      </c>
      <c r="K401" s="4">
        <v>111006</v>
      </c>
      <c r="L401" s="5">
        <v>0.06</v>
      </c>
      <c r="M401" s="1" t="s">
        <v>46</v>
      </c>
      <c r="N401" s="1" t="s">
        <v>176</v>
      </c>
      <c r="O401" s="6" t="s">
        <v>26</v>
      </c>
    </row>
    <row r="402" spans="1:15" x14ac:dyDescent="0.35">
      <c r="A402" t="s">
        <v>822</v>
      </c>
      <c r="B402" s="1" t="s">
        <v>823</v>
      </c>
      <c r="C402" s="1" t="s">
        <v>60</v>
      </c>
      <c r="D402" s="1" t="s">
        <v>187</v>
      </c>
      <c r="E402" s="1" t="s">
        <v>73</v>
      </c>
      <c r="F402" s="1" t="s">
        <v>35</v>
      </c>
      <c r="G402" s="1" t="s">
        <v>23</v>
      </c>
      <c r="H402" s="1">
        <v>25</v>
      </c>
      <c r="I402" s="1" t="str">
        <f t="shared" si="6"/>
        <v>18-30</v>
      </c>
      <c r="J402" s="3">
        <v>44545</v>
      </c>
      <c r="K402" s="4">
        <v>114893</v>
      </c>
      <c r="L402" s="5">
        <v>0.09</v>
      </c>
      <c r="M402" s="1" t="s">
        <v>24</v>
      </c>
      <c r="N402" s="1" t="s">
        <v>180</v>
      </c>
      <c r="O402" s="6" t="s">
        <v>26</v>
      </c>
    </row>
    <row r="403" spans="1:15" x14ac:dyDescent="0.35">
      <c r="A403" t="s">
        <v>824</v>
      </c>
      <c r="B403" s="1" t="s">
        <v>825</v>
      </c>
      <c r="C403" s="1" t="s">
        <v>130</v>
      </c>
      <c r="D403" s="1" t="s">
        <v>20</v>
      </c>
      <c r="E403" s="1" t="s">
        <v>30</v>
      </c>
      <c r="F403" s="1" t="s">
        <v>22</v>
      </c>
      <c r="G403" s="1" t="s">
        <v>23</v>
      </c>
      <c r="H403" s="1">
        <v>28</v>
      </c>
      <c r="I403" s="1" t="str">
        <f t="shared" si="6"/>
        <v>18-30</v>
      </c>
      <c r="J403" s="3">
        <v>44548</v>
      </c>
      <c r="K403" s="4">
        <v>95670</v>
      </c>
      <c r="L403" s="5">
        <v>0.13</v>
      </c>
      <c r="M403" s="1" t="s">
        <v>46</v>
      </c>
      <c r="N403" s="1" t="s">
        <v>184</v>
      </c>
      <c r="O403" s="6" t="s">
        <v>26</v>
      </c>
    </row>
    <row r="404" spans="1:15" x14ac:dyDescent="0.35">
      <c r="A404" t="s">
        <v>826</v>
      </c>
      <c r="B404" s="1" t="s">
        <v>827</v>
      </c>
      <c r="C404" s="1" t="s">
        <v>29</v>
      </c>
      <c r="D404" s="1" t="s">
        <v>1</v>
      </c>
      <c r="E404" s="1" t="s">
        <v>30</v>
      </c>
      <c r="F404" s="1" t="s">
        <v>35</v>
      </c>
      <c r="G404" s="1" t="s">
        <v>23</v>
      </c>
      <c r="H404" s="1">
        <v>25</v>
      </c>
      <c r="I404" s="1" t="str">
        <f t="shared" si="6"/>
        <v>18-30</v>
      </c>
      <c r="J404" s="3">
        <v>44549</v>
      </c>
      <c r="K404" s="4">
        <v>150666</v>
      </c>
      <c r="L404" s="5">
        <v>0.06</v>
      </c>
      <c r="M404" s="1" t="s">
        <v>24</v>
      </c>
      <c r="N404" s="1" t="s">
        <v>188</v>
      </c>
      <c r="O404" s="6" t="s">
        <v>26</v>
      </c>
    </row>
    <row r="405" spans="1:15" x14ac:dyDescent="0.35">
      <c r="A405" t="s">
        <v>828</v>
      </c>
      <c r="B405" s="1" t="s">
        <v>829</v>
      </c>
      <c r="C405" s="2" t="s">
        <v>110</v>
      </c>
      <c r="D405" s="2" t="s">
        <v>187</v>
      </c>
      <c r="E405" s="2" t="s">
        <v>30</v>
      </c>
      <c r="F405" s="2" t="s">
        <v>35</v>
      </c>
      <c r="G405" s="2" t="s">
        <v>23</v>
      </c>
      <c r="H405" s="2">
        <v>47</v>
      </c>
      <c r="I405" s="1" t="str">
        <f t="shared" si="6"/>
        <v>46-60</v>
      </c>
      <c r="J405" s="7">
        <v>44556</v>
      </c>
      <c r="K405" s="8">
        <v>243568</v>
      </c>
      <c r="L405" s="5">
        <v>0.13</v>
      </c>
      <c r="M405" s="1" t="s">
        <v>24</v>
      </c>
      <c r="N405" s="1" t="s">
        <v>830</v>
      </c>
      <c r="O405" s="9" t="s">
        <v>26</v>
      </c>
    </row>
    <row r="406" spans="1:15" x14ac:dyDescent="0.35">
      <c r="A406" t="s">
        <v>831</v>
      </c>
      <c r="B406" s="1" t="s">
        <v>832</v>
      </c>
      <c r="C406" s="1" t="s">
        <v>137</v>
      </c>
      <c r="D406" s="1" t="s">
        <v>3</v>
      </c>
      <c r="E406" s="1" t="s">
        <v>41</v>
      </c>
      <c r="F406" s="1" t="s">
        <v>35</v>
      </c>
      <c r="G406" s="1" t="s">
        <v>833</v>
      </c>
      <c r="H406" s="1">
        <v>63</v>
      </c>
      <c r="I406" s="1" t="str">
        <f t="shared" si="6"/>
        <v>&gt;60</v>
      </c>
      <c r="J406" s="3">
        <v>33695</v>
      </c>
      <c r="K406" s="4">
        <v>29000</v>
      </c>
      <c r="L406" s="5">
        <v>0.05</v>
      </c>
      <c r="M406" s="1" t="s">
        <v>834</v>
      </c>
      <c r="N406" s="1" t="s">
        <v>835</v>
      </c>
      <c r="O406" s="6" t="s">
        <v>26</v>
      </c>
    </row>
    <row r="407" spans="1:15" x14ac:dyDescent="0.35">
      <c r="A407" t="s">
        <v>836</v>
      </c>
      <c r="B407" s="1" t="s">
        <v>837</v>
      </c>
      <c r="C407" s="1" t="s">
        <v>19</v>
      </c>
      <c r="D407" s="1" t="s">
        <v>20</v>
      </c>
      <c r="E407" s="1" t="s">
        <v>21</v>
      </c>
      <c r="F407" s="1" t="s">
        <v>22</v>
      </c>
      <c r="G407" s="1" t="s">
        <v>833</v>
      </c>
      <c r="H407" s="1">
        <v>53</v>
      </c>
      <c r="I407" s="1" t="str">
        <f t="shared" si="6"/>
        <v>46-60</v>
      </c>
      <c r="J407" s="3">
        <v>33702</v>
      </c>
      <c r="K407" s="4">
        <v>116878</v>
      </c>
      <c r="L407" s="5">
        <v>0.13</v>
      </c>
      <c r="M407" s="1" t="s">
        <v>834</v>
      </c>
      <c r="N407" s="1" t="s">
        <v>838</v>
      </c>
      <c r="O407" s="6" t="s">
        <v>26</v>
      </c>
    </row>
    <row r="408" spans="1:15" x14ac:dyDescent="0.35">
      <c r="A408" t="s">
        <v>839</v>
      </c>
      <c r="B408" s="1" t="s">
        <v>840</v>
      </c>
      <c r="C408" s="1" t="s">
        <v>144</v>
      </c>
      <c r="D408" s="1" t="s">
        <v>1</v>
      </c>
      <c r="E408" s="1" t="s">
        <v>41</v>
      </c>
      <c r="F408" s="1" t="s">
        <v>35</v>
      </c>
      <c r="G408" s="1" t="s">
        <v>841</v>
      </c>
      <c r="H408" s="1">
        <v>56</v>
      </c>
      <c r="I408" s="1" t="str">
        <f t="shared" si="6"/>
        <v>46-60</v>
      </c>
      <c r="J408" s="3">
        <v>33770</v>
      </c>
      <c r="K408" s="4">
        <v>59591</v>
      </c>
      <c r="L408" s="5">
        <v>0.15</v>
      </c>
      <c r="M408" s="1" t="s">
        <v>842</v>
      </c>
      <c r="N408" s="1" t="s">
        <v>843</v>
      </c>
      <c r="O408" s="6" t="s">
        <v>26</v>
      </c>
    </row>
    <row r="409" spans="1:15" x14ac:dyDescent="0.35">
      <c r="A409" t="s">
        <v>844</v>
      </c>
      <c r="B409" s="1" t="s">
        <v>845</v>
      </c>
      <c r="C409" s="1" t="s">
        <v>536</v>
      </c>
      <c r="D409" s="1" t="s">
        <v>3</v>
      </c>
      <c r="E409" s="1" t="s">
        <v>30</v>
      </c>
      <c r="F409" s="1" t="s">
        <v>22</v>
      </c>
      <c r="G409" s="1" t="s">
        <v>833</v>
      </c>
      <c r="H409" s="1">
        <v>54</v>
      </c>
      <c r="I409" s="1" t="str">
        <f t="shared" si="6"/>
        <v>46-60</v>
      </c>
      <c r="J409" s="3">
        <v>33785</v>
      </c>
      <c r="K409" s="4">
        <v>63196</v>
      </c>
      <c r="L409" s="5">
        <v>0.05</v>
      </c>
      <c r="M409" s="1" t="s">
        <v>834</v>
      </c>
      <c r="N409" s="1" t="s">
        <v>846</v>
      </c>
      <c r="O409" s="6">
        <v>41938</v>
      </c>
    </row>
    <row r="410" spans="1:15" x14ac:dyDescent="0.35">
      <c r="A410" t="s">
        <v>847</v>
      </c>
      <c r="B410" s="1" t="s">
        <v>848</v>
      </c>
      <c r="C410" s="1" t="s">
        <v>540</v>
      </c>
      <c r="D410" s="1" t="s">
        <v>20</v>
      </c>
      <c r="E410" s="1" t="s">
        <v>30</v>
      </c>
      <c r="F410" s="1" t="s">
        <v>22</v>
      </c>
      <c r="G410" s="1" t="s">
        <v>841</v>
      </c>
      <c r="H410" s="1">
        <v>64</v>
      </c>
      <c r="I410" s="1" t="str">
        <f t="shared" si="6"/>
        <v>&gt;60</v>
      </c>
      <c r="J410" s="3">
        <v>33875</v>
      </c>
      <c r="K410" s="4">
        <v>70778</v>
      </c>
      <c r="L410" s="5">
        <v>0.06</v>
      </c>
      <c r="M410" s="1" t="s">
        <v>834</v>
      </c>
      <c r="N410" s="1" t="s">
        <v>849</v>
      </c>
      <c r="O410" s="6" t="s">
        <v>26</v>
      </c>
    </row>
    <row r="411" spans="1:15" x14ac:dyDescent="0.35">
      <c r="A411" t="s">
        <v>850</v>
      </c>
      <c r="B411" s="1" t="s">
        <v>851</v>
      </c>
      <c r="C411" s="1" t="s">
        <v>60</v>
      </c>
      <c r="D411" s="1" t="s">
        <v>61</v>
      </c>
      <c r="E411" s="1" t="s">
        <v>21</v>
      </c>
      <c r="F411" s="1" t="s">
        <v>35</v>
      </c>
      <c r="G411" s="1" t="s">
        <v>852</v>
      </c>
      <c r="H411" s="1">
        <v>55</v>
      </c>
      <c r="I411" s="1" t="str">
        <f t="shared" si="6"/>
        <v>46-60</v>
      </c>
      <c r="J411" s="3">
        <v>33958</v>
      </c>
      <c r="K411" s="4">
        <v>113950</v>
      </c>
      <c r="L411" s="5">
        <v>0.11</v>
      </c>
      <c r="M411" s="1" t="s">
        <v>834</v>
      </c>
      <c r="N411" s="1" t="s">
        <v>838</v>
      </c>
      <c r="O411" s="6" t="s">
        <v>26</v>
      </c>
    </row>
    <row r="412" spans="1:15" x14ac:dyDescent="0.35">
      <c r="A412" t="s">
        <v>853</v>
      </c>
      <c r="B412" s="1" t="s">
        <v>854</v>
      </c>
      <c r="C412" s="1" t="s">
        <v>60</v>
      </c>
      <c r="D412" s="1" t="s">
        <v>56</v>
      </c>
      <c r="E412" s="1" t="s">
        <v>41</v>
      </c>
      <c r="F412" s="1" t="s">
        <v>22</v>
      </c>
      <c r="G412" s="1" t="s">
        <v>833</v>
      </c>
      <c r="H412" s="1">
        <v>64</v>
      </c>
      <c r="I412" s="1" t="str">
        <f t="shared" si="6"/>
        <v>&gt;60</v>
      </c>
      <c r="J412" s="3">
        <v>33964</v>
      </c>
      <c r="K412" s="4">
        <v>104668</v>
      </c>
      <c r="L412" s="5">
        <v>7.0000000000000007E-2</v>
      </c>
      <c r="M412" s="1" t="s">
        <v>834</v>
      </c>
      <c r="N412" s="1" t="s">
        <v>855</v>
      </c>
      <c r="O412" s="6" t="s">
        <v>26</v>
      </c>
    </row>
    <row r="413" spans="1:15" x14ac:dyDescent="0.35">
      <c r="A413" t="s">
        <v>856</v>
      </c>
      <c r="B413" s="1" t="s">
        <v>857</v>
      </c>
      <c r="C413" s="1" t="s">
        <v>469</v>
      </c>
      <c r="D413" s="1" t="s">
        <v>3</v>
      </c>
      <c r="E413" s="1" t="s">
        <v>30</v>
      </c>
      <c r="F413" s="1" t="s">
        <v>22</v>
      </c>
      <c r="G413" s="1" t="s">
        <v>833</v>
      </c>
      <c r="H413" s="1">
        <v>58</v>
      </c>
      <c r="I413" s="1" t="str">
        <f t="shared" si="6"/>
        <v>46-60</v>
      </c>
      <c r="J413" s="3">
        <v>34176</v>
      </c>
      <c r="K413" s="4">
        <v>69260</v>
      </c>
      <c r="L413" s="5">
        <v>0.1</v>
      </c>
      <c r="M413" s="1" t="s">
        <v>834</v>
      </c>
      <c r="N413" s="1" t="s">
        <v>835</v>
      </c>
      <c r="O413" s="6" t="s">
        <v>26</v>
      </c>
    </row>
    <row r="414" spans="1:15" x14ac:dyDescent="0.35">
      <c r="A414" t="s">
        <v>858</v>
      </c>
      <c r="B414" s="1" t="s">
        <v>859</v>
      </c>
      <c r="C414" s="1" t="s">
        <v>29</v>
      </c>
      <c r="D414" s="1" t="s">
        <v>56</v>
      </c>
      <c r="E414" s="1" t="s">
        <v>73</v>
      </c>
      <c r="F414" s="1" t="s">
        <v>35</v>
      </c>
      <c r="G414" s="1" t="s">
        <v>841</v>
      </c>
      <c r="H414" s="1">
        <v>52</v>
      </c>
      <c r="I414" s="1" t="str">
        <f t="shared" si="6"/>
        <v>46-60</v>
      </c>
      <c r="J414" s="3">
        <v>34209</v>
      </c>
      <c r="K414" s="4">
        <v>177443</v>
      </c>
      <c r="L414" s="5">
        <v>0.16</v>
      </c>
      <c r="M414" s="1" t="s">
        <v>842</v>
      </c>
      <c r="N414" s="1" t="s">
        <v>843</v>
      </c>
      <c r="O414" s="6" t="s">
        <v>26</v>
      </c>
    </row>
    <row r="415" spans="1:15" x14ac:dyDescent="0.35">
      <c r="A415" t="s">
        <v>860</v>
      </c>
      <c r="B415" s="1" t="s">
        <v>861</v>
      </c>
      <c r="C415" s="1" t="s">
        <v>536</v>
      </c>
      <c r="D415" s="1" t="s">
        <v>3</v>
      </c>
      <c r="E415" s="1" t="s">
        <v>73</v>
      </c>
      <c r="F415" s="1" t="s">
        <v>22</v>
      </c>
      <c r="G415" s="1" t="s">
        <v>841</v>
      </c>
      <c r="H415" s="1">
        <v>55</v>
      </c>
      <c r="I415" s="1" t="str">
        <f t="shared" si="6"/>
        <v>46-60</v>
      </c>
      <c r="J415" s="3">
        <v>34290</v>
      </c>
      <c r="K415" s="4">
        <v>80170</v>
      </c>
      <c r="L415" s="5">
        <v>0.05</v>
      </c>
      <c r="M415" s="1" t="s">
        <v>834</v>
      </c>
      <c r="N415" s="1" t="s">
        <v>838</v>
      </c>
      <c r="O415" s="6" t="s">
        <v>26</v>
      </c>
    </row>
    <row r="416" spans="1:15" x14ac:dyDescent="0.35">
      <c r="A416" t="s">
        <v>862</v>
      </c>
      <c r="B416" s="1" t="s">
        <v>863</v>
      </c>
      <c r="C416" s="1" t="s">
        <v>329</v>
      </c>
      <c r="D416" s="1" t="s">
        <v>3</v>
      </c>
      <c r="E416" s="1" t="s">
        <v>30</v>
      </c>
      <c r="F416" s="1" t="s">
        <v>35</v>
      </c>
      <c r="G416" s="1" t="s">
        <v>841</v>
      </c>
      <c r="H416" s="1">
        <v>57</v>
      </c>
      <c r="I416" s="1" t="str">
        <f t="shared" si="6"/>
        <v>46-60</v>
      </c>
      <c r="J416" s="3">
        <v>34337</v>
      </c>
      <c r="K416" s="4">
        <v>82872</v>
      </c>
      <c r="L416" s="5">
        <v>0.06</v>
      </c>
      <c r="M416" s="1" t="s">
        <v>842</v>
      </c>
      <c r="N416" s="1" t="s">
        <v>864</v>
      </c>
      <c r="O416" s="6" t="s">
        <v>26</v>
      </c>
    </row>
    <row r="417" spans="1:15" x14ac:dyDescent="0.35">
      <c r="A417" t="s">
        <v>865</v>
      </c>
      <c r="B417" s="1" t="s">
        <v>866</v>
      </c>
      <c r="C417" s="1" t="s">
        <v>19</v>
      </c>
      <c r="D417" s="1" t="s">
        <v>20</v>
      </c>
      <c r="E417" s="1" t="s">
        <v>73</v>
      </c>
      <c r="F417" s="1" t="s">
        <v>35</v>
      </c>
      <c r="G417" s="1" t="s">
        <v>833</v>
      </c>
      <c r="H417" s="1">
        <v>64</v>
      </c>
      <c r="I417" s="1" t="str">
        <f t="shared" si="6"/>
        <v>&gt;60</v>
      </c>
      <c r="J417" s="3">
        <v>34505</v>
      </c>
      <c r="K417" s="4">
        <v>109456</v>
      </c>
      <c r="L417" s="5">
        <v>0.05</v>
      </c>
      <c r="M417" s="1" t="s">
        <v>834</v>
      </c>
      <c r="N417" s="1" t="s">
        <v>846</v>
      </c>
      <c r="O417" s="6" t="s">
        <v>26</v>
      </c>
    </row>
    <row r="418" spans="1:15" x14ac:dyDescent="0.35">
      <c r="A418" t="s">
        <v>867</v>
      </c>
      <c r="B418" s="1" t="s">
        <v>868</v>
      </c>
      <c r="C418" s="1" t="s">
        <v>250</v>
      </c>
      <c r="D418" s="1" t="s">
        <v>3</v>
      </c>
      <c r="E418" s="1" t="s">
        <v>21</v>
      </c>
      <c r="F418" s="1" t="s">
        <v>35</v>
      </c>
      <c r="G418" s="1" t="s">
        <v>841</v>
      </c>
      <c r="H418" s="1">
        <v>55</v>
      </c>
      <c r="I418" s="1" t="str">
        <f t="shared" si="6"/>
        <v>46-60</v>
      </c>
      <c r="J418" s="3">
        <v>34576</v>
      </c>
      <c r="K418" s="4">
        <v>73955</v>
      </c>
      <c r="L418" s="5">
        <v>7.0000000000000007E-2</v>
      </c>
      <c r="M418" s="1" t="s">
        <v>834</v>
      </c>
      <c r="N418" s="1" t="s">
        <v>835</v>
      </c>
      <c r="O418" s="6" t="s">
        <v>26</v>
      </c>
    </row>
    <row r="419" spans="1:15" x14ac:dyDescent="0.35">
      <c r="A419" t="s">
        <v>869</v>
      </c>
      <c r="B419" s="1" t="s">
        <v>870</v>
      </c>
      <c r="C419" s="1" t="s">
        <v>45</v>
      </c>
      <c r="D419" s="1" t="s">
        <v>187</v>
      </c>
      <c r="E419" s="1" t="s">
        <v>21</v>
      </c>
      <c r="F419" s="1" t="s">
        <v>22</v>
      </c>
      <c r="G419" s="1" t="s">
        <v>841</v>
      </c>
      <c r="H419" s="1">
        <v>58</v>
      </c>
      <c r="I419" s="1" t="str">
        <f t="shared" si="6"/>
        <v>46-60</v>
      </c>
      <c r="J419" s="3">
        <v>34592</v>
      </c>
      <c r="K419" s="4">
        <v>98769</v>
      </c>
      <c r="L419" s="5">
        <v>0.08</v>
      </c>
      <c r="M419" s="1" t="s">
        <v>842</v>
      </c>
      <c r="N419" s="1" t="s">
        <v>871</v>
      </c>
      <c r="O419" s="6">
        <v>42646</v>
      </c>
    </row>
    <row r="420" spans="1:15" x14ac:dyDescent="0.35">
      <c r="A420" t="s">
        <v>872</v>
      </c>
      <c r="B420" s="1" t="s">
        <v>873</v>
      </c>
      <c r="C420" s="1" t="s">
        <v>29</v>
      </c>
      <c r="D420" s="1" t="s">
        <v>56</v>
      </c>
      <c r="E420" s="1" t="s">
        <v>41</v>
      </c>
      <c r="F420" s="1" t="s">
        <v>35</v>
      </c>
      <c r="G420" s="1" t="s">
        <v>833</v>
      </c>
      <c r="H420" s="1">
        <v>54</v>
      </c>
      <c r="I420" s="1" t="str">
        <f t="shared" si="6"/>
        <v>46-60</v>
      </c>
      <c r="J420" s="3">
        <v>34603</v>
      </c>
      <c r="K420" s="4">
        <v>162978</v>
      </c>
      <c r="L420" s="5">
        <v>0.05</v>
      </c>
      <c r="M420" s="1" t="s">
        <v>834</v>
      </c>
      <c r="N420" s="1" t="s">
        <v>838</v>
      </c>
      <c r="O420" s="6">
        <v>38131</v>
      </c>
    </row>
    <row r="421" spans="1:15" x14ac:dyDescent="0.35">
      <c r="A421" t="s">
        <v>874</v>
      </c>
      <c r="B421" s="1" t="s">
        <v>875</v>
      </c>
      <c r="C421" s="1" t="s">
        <v>446</v>
      </c>
      <c r="D421" s="1" t="s">
        <v>20</v>
      </c>
      <c r="E421" s="1" t="s">
        <v>73</v>
      </c>
      <c r="F421" s="1" t="s">
        <v>22</v>
      </c>
      <c r="G421" s="1" t="s">
        <v>841</v>
      </c>
      <c r="H421" s="1">
        <v>62</v>
      </c>
      <c r="I421" s="1" t="str">
        <f t="shared" si="6"/>
        <v>&gt;60</v>
      </c>
      <c r="J421" s="3">
        <v>34616</v>
      </c>
      <c r="K421" s="4">
        <v>98230</v>
      </c>
      <c r="L421" s="5">
        <v>0.09</v>
      </c>
      <c r="M421" s="1" t="s">
        <v>834</v>
      </c>
      <c r="N421" s="1" t="s">
        <v>838</v>
      </c>
      <c r="O421" s="6" t="s">
        <v>26</v>
      </c>
    </row>
    <row r="422" spans="1:15" x14ac:dyDescent="0.35">
      <c r="A422" t="s">
        <v>876</v>
      </c>
      <c r="B422" s="1" t="s">
        <v>877</v>
      </c>
      <c r="C422" s="1" t="s">
        <v>45</v>
      </c>
      <c r="D422" s="1" t="s">
        <v>1</v>
      </c>
      <c r="E422" s="1" t="s">
        <v>30</v>
      </c>
      <c r="F422" s="1" t="s">
        <v>35</v>
      </c>
      <c r="G422" s="1" t="s">
        <v>841</v>
      </c>
      <c r="H422" s="1">
        <v>52</v>
      </c>
      <c r="I422" s="1" t="str">
        <f t="shared" si="6"/>
        <v>46-60</v>
      </c>
      <c r="J422" s="3">
        <v>34623</v>
      </c>
      <c r="K422" s="4">
        <v>93103</v>
      </c>
      <c r="L422" s="5">
        <v>0.11</v>
      </c>
      <c r="M422" s="1" t="s">
        <v>834</v>
      </c>
      <c r="N422" s="1" t="s">
        <v>835</v>
      </c>
      <c r="O422" s="6" t="s">
        <v>26</v>
      </c>
    </row>
    <row r="423" spans="1:15" x14ac:dyDescent="0.35">
      <c r="A423" t="s">
        <v>878</v>
      </c>
      <c r="B423" s="1" t="s">
        <v>879</v>
      </c>
      <c r="C423" s="1" t="s">
        <v>183</v>
      </c>
      <c r="D423" s="1" t="s">
        <v>3</v>
      </c>
      <c r="E423" s="1" t="s">
        <v>41</v>
      </c>
      <c r="F423" s="1" t="s">
        <v>22</v>
      </c>
      <c r="G423" s="1" t="s">
        <v>833</v>
      </c>
      <c r="H423" s="1">
        <v>54</v>
      </c>
      <c r="I423" s="1" t="str">
        <f t="shared" si="6"/>
        <v>46-60</v>
      </c>
      <c r="J423" s="3">
        <v>34631</v>
      </c>
      <c r="K423" s="4">
        <v>87216</v>
      </c>
      <c r="L423" s="5">
        <v>0.12</v>
      </c>
      <c r="M423" s="1" t="s">
        <v>834</v>
      </c>
      <c r="N423" s="1" t="s">
        <v>838</v>
      </c>
      <c r="O423" s="6" t="s">
        <v>26</v>
      </c>
    </row>
    <row r="424" spans="1:15" x14ac:dyDescent="0.35">
      <c r="A424" t="s">
        <v>880</v>
      </c>
      <c r="B424" s="1" t="s">
        <v>881</v>
      </c>
      <c r="C424" s="1" t="s">
        <v>60</v>
      </c>
      <c r="D424" s="1" t="s">
        <v>80</v>
      </c>
      <c r="E424" s="1" t="s">
        <v>73</v>
      </c>
      <c r="F424" s="1" t="s">
        <v>22</v>
      </c>
      <c r="G424" s="1" t="s">
        <v>852</v>
      </c>
      <c r="H424" s="1">
        <v>51</v>
      </c>
      <c r="I424" s="1" t="str">
        <f t="shared" si="6"/>
        <v>46-60</v>
      </c>
      <c r="J424" s="3">
        <v>34746</v>
      </c>
      <c r="K424" s="4">
        <v>125375</v>
      </c>
      <c r="L424" s="5">
        <v>0.12</v>
      </c>
      <c r="M424" s="1" t="s">
        <v>834</v>
      </c>
      <c r="N424" s="1" t="s">
        <v>846</v>
      </c>
      <c r="O424" s="6" t="s">
        <v>26</v>
      </c>
    </row>
    <row r="425" spans="1:15" x14ac:dyDescent="0.35">
      <c r="A425" t="s">
        <v>882</v>
      </c>
      <c r="B425" s="1" t="s">
        <v>883</v>
      </c>
      <c r="C425" s="1" t="s">
        <v>2</v>
      </c>
      <c r="D425" s="1" t="s">
        <v>187</v>
      </c>
      <c r="E425" s="1" t="s">
        <v>30</v>
      </c>
      <c r="F425" s="1" t="s">
        <v>35</v>
      </c>
      <c r="G425" s="1" t="s">
        <v>841</v>
      </c>
      <c r="H425" s="1">
        <v>56</v>
      </c>
      <c r="I425" s="1" t="str">
        <f t="shared" si="6"/>
        <v>46-60</v>
      </c>
      <c r="J425" s="3">
        <v>34802</v>
      </c>
      <c r="K425" s="4">
        <v>50857</v>
      </c>
      <c r="L425" s="5">
        <v>0.16</v>
      </c>
      <c r="M425" s="1" t="s">
        <v>842</v>
      </c>
      <c r="N425" s="1" t="s">
        <v>864</v>
      </c>
      <c r="O425" s="6" t="s">
        <v>26</v>
      </c>
    </row>
    <row r="426" spans="1:15" x14ac:dyDescent="0.35">
      <c r="A426" t="s">
        <v>884</v>
      </c>
      <c r="B426" s="1" t="s">
        <v>885</v>
      </c>
      <c r="C426" s="1" t="s">
        <v>40</v>
      </c>
      <c r="D426" s="1" t="s">
        <v>20</v>
      </c>
      <c r="E426" s="1" t="s">
        <v>21</v>
      </c>
      <c r="F426" s="1" t="s">
        <v>35</v>
      </c>
      <c r="G426" s="1" t="s">
        <v>833</v>
      </c>
      <c r="H426" s="1">
        <v>58</v>
      </c>
      <c r="I426" s="1" t="str">
        <f t="shared" si="6"/>
        <v>46-60</v>
      </c>
      <c r="J426" s="3">
        <v>34999</v>
      </c>
      <c r="K426" s="4">
        <v>70189</v>
      </c>
      <c r="L426" s="5">
        <v>0.15</v>
      </c>
      <c r="M426" s="1" t="s">
        <v>834</v>
      </c>
      <c r="N426" s="1" t="s">
        <v>855</v>
      </c>
      <c r="O426" s="6" t="s">
        <v>26</v>
      </c>
    </row>
    <row r="427" spans="1:15" x14ac:dyDescent="0.35">
      <c r="A427" t="s">
        <v>886</v>
      </c>
      <c r="B427" s="1" t="s">
        <v>887</v>
      </c>
      <c r="C427" s="1" t="s">
        <v>29</v>
      </c>
      <c r="D427" s="1" t="s">
        <v>1</v>
      </c>
      <c r="E427" s="1" t="s">
        <v>41</v>
      </c>
      <c r="F427" s="1" t="s">
        <v>35</v>
      </c>
      <c r="G427" s="1" t="s">
        <v>833</v>
      </c>
      <c r="H427" s="1">
        <v>55</v>
      </c>
      <c r="I427" s="1" t="str">
        <f t="shared" si="6"/>
        <v>46-60</v>
      </c>
      <c r="J427" s="3">
        <v>35001</v>
      </c>
      <c r="K427" s="4">
        <v>153271</v>
      </c>
      <c r="L427" s="5">
        <v>0.15</v>
      </c>
      <c r="M427" s="1" t="s">
        <v>834</v>
      </c>
      <c r="N427" s="1" t="s">
        <v>849</v>
      </c>
      <c r="O427" s="6" t="s">
        <v>26</v>
      </c>
    </row>
    <row r="428" spans="1:15" x14ac:dyDescent="0.35">
      <c r="A428" t="s">
        <v>888</v>
      </c>
      <c r="B428" s="1" t="s">
        <v>889</v>
      </c>
      <c r="C428" s="1" t="s">
        <v>446</v>
      </c>
      <c r="D428" s="1" t="s">
        <v>20</v>
      </c>
      <c r="E428" s="1" t="s">
        <v>30</v>
      </c>
      <c r="F428" s="1" t="s">
        <v>35</v>
      </c>
      <c r="G428" s="1" t="s">
        <v>833</v>
      </c>
      <c r="H428" s="1">
        <v>51</v>
      </c>
      <c r="I428" s="1" t="str">
        <f t="shared" si="6"/>
        <v>46-60</v>
      </c>
      <c r="J428" s="3">
        <v>35055</v>
      </c>
      <c r="K428" s="4">
        <v>96475</v>
      </c>
      <c r="L428" s="5">
        <v>0.11</v>
      </c>
      <c r="M428" s="1" t="s">
        <v>834</v>
      </c>
      <c r="N428" s="1" t="s">
        <v>849</v>
      </c>
      <c r="O428" s="6" t="s">
        <v>26</v>
      </c>
    </row>
    <row r="429" spans="1:15" x14ac:dyDescent="0.35">
      <c r="A429" t="s">
        <v>890</v>
      </c>
      <c r="B429" s="1" t="s">
        <v>891</v>
      </c>
      <c r="C429" s="1" t="s">
        <v>123</v>
      </c>
      <c r="D429" s="1" t="s">
        <v>3</v>
      </c>
      <c r="E429" s="1" t="s">
        <v>41</v>
      </c>
      <c r="F429" s="1" t="s">
        <v>35</v>
      </c>
      <c r="G429" s="1" t="s">
        <v>833</v>
      </c>
      <c r="H429" s="1">
        <v>57</v>
      </c>
      <c r="I429" s="1" t="str">
        <f t="shared" si="6"/>
        <v>46-60</v>
      </c>
      <c r="J429" s="3">
        <v>35113</v>
      </c>
      <c r="K429" s="4">
        <v>75354</v>
      </c>
      <c r="L429" s="5">
        <v>7.0000000000000007E-2</v>
      </c>
      <c r="M429" s="1" t="s">
        <v>834</v>
      </c>
      <c r="N429" s="1" t="s">
        <v>849</v>
      </c>
      <c r="O429" s="6">
        <v>35413</v>
      </c>
    </row>
    <row r="430" spans="1:15" x14ac:dyDescent="0.35">
      <c r="A430" t="s">
        <v>892</v>
      </c>
      <c r="B430" s="1" t="s">
        <v>893</v>
      </c>
      <c r="C430" s="1" t="s">
        <v>40</v>
      </c>
      <c r="D430" s="1" t="s">
        <v>20</v>
      </c>
      <c r="E430" s="1" t="s">
        <v>21</v>
      </c>
      <c r="F430" s="1" t="s">
        <v>22</v>
      </c>
      <c r="G430" s="1" t="s">
        <v>833</v>
      </c>
      <c r="H430" s="1">
        <v>59</v>
      </c>
      <c r="I430" s="1" t="str">
        <f t="shared" si="6"/>
        <v>46-60</v>
      </c>
      <c r="J430" s="3">
        <v>35153</v>
      </c>
      <c r="K430" s="4">
        <v>62605</v>
      </c>
      <c r="L430" s="5">
        <v>0.15</v>
      </c>
      <c r="M430" s="1" t="s">
        <v>834</v>
      </c>
      <c r="N430" s="1" t="s">
        <v>849</v>
      </c>
      <c r="O430" s="6" t="s">
        <v>26</v>
      </c>
    </row>
    <row r="431" spans="1:15" x14ac:dyDescent="0.35">
      <c r="A431" t="s">
        <v>894</v>
      </c>
      <c r="B431" s="1" t="s">
        <v>895</v>
      </c>
      <c r="C431" s="1" t="s">
        <v>102</v>
      </c>
      <c r="D431" s="1" t="s">
        <v>1</v>
      </c>
      <c r="E431" s="1" t="s">
        <v>41</v>
      </c>
      <c r="F431" s="1" t="s">
        <v>35</v>
      </c>
      <c r="G431" s="1" t="s">
        <v>841</v>
      </c>
      <c r="H431" s="1">
        <v>49</v>
      </c>
      <c r="I431" s="1" t="str">
        <f t="shared" si="6"/>
        <v>46-60</v>
      </c>
      <c r="J431" s="3">
        <v>35157</v>
      </c>
      <c r="K431" s="4">
        <v>157057</v>
      </c>
      <c r="L431" s="5">
        <v>0.11</v>
      </c>
      <c r="M431" s="1" t="s">
        <v>834</v>
      </c>
      <c r="N431" s="1" t="s">
        <v>838</v>
      </c>
      <c r="O431" s="6" t="s">
        <v>26</v>
      </c>
    </row>
    <row r="432" spans="1:15" x14ac:dyDescent="0.35">
      <c r="A432" t="s">
        <v>896</v>
      </c>
      <c r="B432" s="1" t="s">
        <v>897</v>
      </c>
      <c r="C432" s="1" t="s">
        <v>45</v>
      </c>
      <c r="D432" s="1" t="s">
        <v>1</v>
      </c>
      <c r="E432" s="1" t="s">
        <v>73</v>
      </c>
      <c r="F432" s="1" t="s">
        <v>35</v>
      </c>
      <c r="G432" s="1" t="s">
        <v>833</v>
      </c>
      <c r="H432" s="1">
        <v>49</v>
      </c>
      <c r="I432" s="1" t="str">
        <f t="shared" si="6"/>
        <v>46-60</v>
      </c>
      <c r="J432" s="3">
        <v>35200</v>
      </c>
      <c r="K432" s="4">
        <v>86658</v>
      </c>
      <c r="L432" s="5">
        <v>0.05</v>
      </c>
      <c r="M432" s="1" t="s">
        <v>834</v>
      </c>
      <c r="N432" s="1" t="s">
        <v>835</v>
      </c>
      <c r="O432" s="6" t="s">
        <v>26</v>
      </c>
    </row>
    <row r="433" spans="1:15" x14ac:dyDescent="0.35">
      <c r="A433" t="s">
        <v>898</v>
      </c>
      <c r="B433" s="1" t="s">
        <v>899</v>
      </c>
      <c r="C433" s="1" t="s">
        <v>110</v>
      </c>
      <c r="D433" s="1" t="s">
        <v>20</v>
      </c>
      <c r="E433" s="1" t="s">
        <v>21</v>
      </c>
      <c r="F433" s="1" t="s">
        <v>35</v>
      </c>
      <c r="G433" s="1" t="s">
        <v>833</v>
      </c>
      <c r="H433" s="1">
        <v>51</v>
      </c>
      <c r="I433" s="1" t="str">
        <f t="shared" si="6"/>
        <v>46-60</v>
      </c>
      <c r="J433" s="3">
        <v>35230</v>
      </c>
      <c r="K433" s="4">
        <v>200246</v>
      </c>
      <c r="L433" s="5">
        <v>0.06</v>
      </c>
      <c r="M433" s="1" t="s">
        <v>834</v>
      </c>
      <c r="N433" s="1" t="s">
        <v>855</v>
      </c>
      <c r="O433" s="6" t="s">
        <v>26</v>
      </c>
    </row>
    <row r="434" spans="1:15" x14ac:dyDescent="0.35">
      <c r="A434" t="s">
        <v>900</v>
      </c>
      <c r="B434" s="1" t="s">
        <v>901</v>
      </c>
      <c r="C434" s="1" t="s">
        <v>2</v>
      </c>
      <c r="D434" s="1" t="s">
        <v>187</v>
      </c>
      <c r="E434" s="1" t="s">
        <v>21</v>
      </c>
      <c r="F434" s="1" t="s">
        <v>35</v>
      </c>
      <c r="G434" s="1" t="s">
        <v>841</v>
      </c>
      <c r="H434" s="1">
        <v>55</v>
      </c>
      <c r="I434" s="1" t="str">
        <f t="shared" si="6"/>
        <v>46-60</v>
      </c>
      <c r="J434" s="3">
        <v>35242</v>
      </c>
      <c r="K434" s="4">
        <v>48687</v>
      </c>
      <c r="L434" s="5">
        <v>7.0000000000000007E-2</v>
      </c>
      <c r="M434" s="1" t="s">
        <v>842</v>
      </c>
      <c r="N434" s="1" t="s">
        <v>871</v>
      </c>
      <c r="O434" s="6" t="s">
        <v>26</v>
      </c>
    </row>
    <row r="435" spans="1:15" x14ac:dyDescent="0.35">
      <c r="A435" t="s">
        <v>902</v>
      </c>
      <c r="B435" s="1" t="s">
        <v>903</v>
      </c>
      <c r="C435" s="1" t="s">
        <v>60</v>
      </c>
      <c r="D435" s="1" t="s">
        <v>61</v>
      </c>
      <c r="E435" s="1" t="s">
        <v>30</v>
      </c>
      <c r="F435" s="1" t="s">
        <v>22</v>
      </c>
      <c r="G435" s="1" t="s">
        <v>833</v>
      </c>
      <c r="H435" s="1">
        <v>51</v>
      </c>
      <c r="I435" s="1" t="str">
        <f t="shared" si="6"/>
        <v>46-60</v>
      </c>
      <c r="J435" s="3">
        <v>35456</v>
      </c>
      <c r="K435" s="4">
        <v>104431</v>
      </c>
      <c r="L435" s="5">
        <v>0.11</v>
      </c>
      <c r="M435" s="1" t="s">
        <v>834</v>
      </c>
      <c r="N435" s="1" t="s">
        <v>835</v>
      </c>
      <c r="O435" s="6" t="s">
        <v>26</v>
      </c>
    </row>
    <row r="436" spans="1:15" x14ac:dyDescent="0.35">
      <c r="A436" t="s">
        <v>904</v>
      </c>
      <c r="B436" s="1" t="s">
        <v>905</v>
      </c>
      <c r="C436" s="1" t="s">
        <v>34</v>
      </c>
      <c r="D436" s="1" t="s">
        <v>3</v>
      </c>
      <c r="E436" s="1" t="s">
        <v>30</v>
      </c>
      <c r="F436" s="1" t="s">
        <v>35</v>
      </c>
      <c r="G436" s="1" t="s">
        <v>833</v>
      </c>
      <c r="H436" s="1">
        <v>53</v>
      </c>
      <c r="I436" s="1" t="str">
        <f t="shared" si="6"/>
        <v>46-60</v>
      </c>
      <c r="J436" s="3">
        <v>35543</v>
      </c>
      <c r="K436" s="4">
        <v>78153</v>
      </c>
      <c r="L436" s="5">
        <v>0.08</v>
      </c>
      <c r="M436" s="1" t="s">
        <v>834</v>
      </c>
      <c r="N436" s="1" t="s">
        <v>838</v>
      </c>
      <c r="O436" s="6" t="s">
        <v>26</v>
      </c>
    </row>
    <row r="437" spans="1:15" x14ac:dyDescent="0.35">
      <c r="A437" t="s">
        <v>906</v>
      </c>
      <c r="B437" s="1" t="s">
        <v>907</v>
      </c>
      <c r="C437" s="1" t="s">
        <v>319</v>
      </c>
      <c r="D437" s="1" t="s">
        <v>1</v>
      </c>
      <c r="E437" s="1" t="s">
        <v>73</v>
      </c>
      <c r="F437" s="1" t="s">
        <v>35</v>
      </c>
      <c r="G437" s="1" t="s">
        <v>852</v>
      </c>
      <c r="H437" s="1">
        <v>60</v>
      </c>
      <c r="I437" s="1" t="str">
        <f t="shared" si="6"/>
        <v>&gt;60</v>
      </c>
      <c r="J437" s="3">
        <v>35641</v>
      </c>
      <c r="K437" s="4">
        <v>71677</v>
      </c>
      <c r="L437" s="5">
        <v>0.09</v>
      </c>
      <c r="M437" s="1" t="s">
        <v>834</v>
      </c>
      <c r="N437" s="1" t="s">
        <v>855</v>
      </c>
      <c r="O437" s="6" t="s">
        <v>26</v>
      </c>
    </row>
    <row r="438" spans="1:15" x14ac:dyDescent="0.35">
      <c r="A438" t="s">
        <v>908</v>
      </c>
      <c r="B438" s="1" t="s">
        <v>909</v>
      </c>
      <c r="C438" s="1" t="s">
        <v>29</v>
      </c>
      <c r="D438" s="1" t="s">
        <v>1</v>
      </c>
      <c r="E438" s="1" t="s">
        <v>41</v>
      </c>
      <c r="F438" s="1" t="s">
        <v>35</v>
      </c>
      <c r="G438" s="1" t="s">
        <v>852</v>
      </c>
      <c r="H438" s="1">
        <v>61</v>
      </c>
      <c r="I438" s="1" t="str">
        <f t="shared" si="6"/>
        <v>&gt;60</v>
      </c>
      <c r="J438" s="3">
        <v>35661</v>
      </c>
      <c r="K438" s="4">
        <v>159567</v>
      </c>
      <c r="L438" s="5">
        <v>0.06</v>
      </c>
      <c r="M438" s="1" t="s">
        <v>834</v>
      </c>
      <c r="N438" s="1" t="s">
        <v>835</v>
      </c>
      <c r="O438" s="6" t="s">
        <v>26</v>
      </c>
    </row>
    <row r="439" spans="1:15" x14ac:dyDescent="0.35">
      <c r="A439" t="s">
        <v>910</v>
      </c>
      <c r="B439" s="1" t="s">
        <v>911</v>
      </c>
      <c r="C439" s="1" t="s">
        <v>40</v>
      </c>
      <c r="D439" s="1" t="s">
        <v>20</v>
      </c>
      <c r="E439" s="1" t="s">
        <v>21</v>
      </c>
      <c r="F439" s="1" t="s">
        <v>35</v>
      </c>
      <c r="G439" s="1" t="s">
        <v>841</v>
      </c>
      <c r="H439" s="1">
        <v>50</v>
      </c>
      <c r="I439" s="1" t="str">
        <f t="shared" si="6"/>
        <v>46-60</v>
      </c>
      <c r="J439" s="3">
        <v>35726</v>
      </c>
      <c r="K439" s="4">
        <v>91763</v>
      </c>
      <c r="L439" s="5">
        <v>0.17</v>
      </c>
      <c r="M439" s="1" t="s">
        <v>834</v>
      </c>
      <c r="N439" s="1" t="s">
        <v>849</v>
      </c>
      <c r="O439" s="6" t="s">
        <v>26</v>
      </c>
    </row>
    <row r="440" spans="1:15" x14ac:dyDescent="0.35">
      <c r="A440" t="s">
        <v>912</v>
      </c>
      <c r="B440" s="1" t="s">
        <v>913</v>
      </c>
      <c r="C440" s="1" t="s">
        <v>55</v>
      </c>
      <c r="D440" s="1" t="s">
        <v>56</v>
      </c>
      <c r="E440" s="1" t="s">
        <v>73</v>
      </c>
      <c r="F440" s="1" t="s">
        <v>22</v>
      </c>
      <c r="G440" s="1" t="s">
        <v>841</v>
      </c>
      <c r="H440" s="1">
        <v>56</v>
      </c>
      <c r="I440" s="1" t="str">
        <f t="shared" si="6"/>
        <v>46-60</v>
      </c>
      <c r="J440" s="3">
        <v>35816</v>
      </c>
      <c r="K440" s="4">
        <v>72303</v>
      </c>
      <c r="L440" s="5">
        <v>0.15</v>
      </c>
      <c r="M440" s="1" t="s">
        <v>834</v>
      </c>
      <c r="N440" s="1" t="s">
        <v>835</v>
      </c>
      <c r="O440" s="6" t="s">
        <v>26</v>
      </c>
    </row>
    <row r="441" spans="1:15" x14ac:dyDescent="0.35">
      <c r="A441" t="s">
        <v>914</v>
      </c>
      <c r="B441" s="1" t="s">
        <v>915</v>
      </c>
      <c r="C441" s="1" t="s">
        <v>45</v>
      </c>
      <c r="D441" s="1" t="s">
        <v>1</v>
      </c>
      <c r="E441" s="1" t="s">
        <v>41</v>
      </c>
      <c r="F441" s="1" t="s">
        <v>22</v>
      </c>
      <c r="G441" s="1" t="s">
        <v>841</v>
      </c>
      <c r="H441" s="1">
        <v>51</v>
      </c>
      <c r="I441" s="1" t="str">
        <f t="shared" si="6"/>
        <v>46-60</v>
      </c>
      <c r="J441" s="3">
        <v>35852</v>
      </c>
      <c r="K441" s="4">
        <v>71111</v>
      </c>
      <c r="L441" s="5">
        <v>0.06</v>
      </c>
      <c r="M441" s="1" t="s">
        <v>842</v>
      </c>
      <c r="N441" s="1" t="s">
        <v>871</v>
      </c>
      <c r="O441" s="6" t="s">
        <v>26</v>
      </c>
    </row>
    <row r="442" spans="1:15" x14ac:dyDescent="0.35">
      <c r="A442" t="s">
        <v>916</v>
      </c>
      <c r="B442" s="1" t="s">
        <v>917</v>
      </c>
      <c r="C442" s="1" t="s">
        <v>29</v>
      </c>
      <c r="D442" s="1" t="s">
        <v>1</v>
      </c>
      <c r="E442" s="1" t="s">
        <v>30</v>
      </c>
      <c r="F442" s="1" t="s">
        <v>35</v>
      </c>
      <c r="G442" s="1" t="s">
        <v>841</v>
      </c>
      <c r="H442" s="1">
        <v>49</v>
      </c>
      <c r="I442" s="1" t="str">
        <f t="shared" si="6"/>
        <v>46-60</v>
      </c>
      <c r="J442" s="3">
        <v>35887</v>
      </c>
      <c r="K442" s="4">
        <v>160832</v>
      </c>
      <c r="L442" s="5">
        <v>0.14000000000000001</v>
      </c>
      <c r="M442" s="1" t="s">
        <v>834</v>
      </c>
      <c r="N442" s="1" t="s">
        <v>835</v>
      </c>
      <c r="O442" s="6" t="s">
        <v>26</v>
      </c>
    </row>
    <row r="443" spans="1:15" x14ac:dyDescent="0.35">
      <c r="A443" t="s">
        <v>918</v>
      </c>
      <c r="B443" s="1" t="s">
        <v>919</v>
      </c>
      <c r="C443" s="1" t="s">
        <v>55</v>
      </c>
      <c r="D443" s="1" t="s">
        <v>56</v>
      </c>
      <c r="E443" s="1" t="s">
        <v>21</v>
      </c>
      <c r="F443" s="1" t="s">
        <v>22</v>
      </c>
      <c r="G443" s="1" t="s">
        <v>841</v>
      </c>
      <c r="H443" s="1">
        <v>48</v>
      </c>
      <c r="I443" s="1" t="str">
        <f t="shared" si="6"/>
        <v>46-60</v>
      </c>
      <c r="J443" s="3">
        <v>35907</v>
      </c>
      <c r="K443" s="4">
        <v>85369</v>
      </c>
      <c r="L443" s="5">
        <v>0.14000000000000001</v>
      </c>
      <c r="M443" s="1" t="s">
        <v>842</v>
      </c>
      <c r="N443" s="1" t="s">
        <v>864</v>
      </c>
      <c r="O443" s="6">
        <v>38318</v>
      </c>
    </row>
    <row r="444" spans="1:15" x14ac:dyDescent="0.35">
      <c r="A444" t="s">
        <v>920</v>
      </c>
      <c r="B444" s="1" t="s">
        <v>921</v>
      </c>
      <c r="C444" s="1" t="s">
        <v>60</v>
      </c>
      <c r="D444" s="1" t="s">
        <v>80</v>
      </c>
      <c r="E444" s="1" t="s">
        <v>21</v>
      </c>
      <c r="F444" s="1" t="s">
        <v>22</v>
      </c>
      <c r="G444" s="1" t="s">
        <v>841</v>
      </c>
      <c r="H444" s="1">
        <v>54</v>
      </c>
      <c r="I444" s="1" t="str">
        <f t="shared" si="6"/>
        <v>46-60</v>
      </c>
      <c r="J444" s="3">
        <v>35913</v>
      </c>
      <c r="K444" s="4">
        <v>108268</v>
      </c>
      <c r="L444" s="5">
        <v>0.11</v>
      </c>
      <c r="M444" s="1" t="s">
        <v>842</v>
      </c>
      <c r="N444" s="1" t="s">
        <v>843</v>
      </c>
      <c r="O444" s="6">
        <v>38122</v>
      </c>
    </row>
    <row r="445" spans="1:15" x14ac:dyDescent="0.35">
      <c r="A445" t="s">
        <v>922</v>
      </c>
      <c r="B445" s="1" t="s">
        <v>923</v>
      </c>
      <c r="C445" s="1" t="s">
        <v>536</v>
      </c>
      <c r="D445" s="1" t="s">
        <v>3</v>
      </c>
      <c r="E445" s="1" t="s">
        <v>30</v>
      </c>
      <c r="F445" s="1" t="s">
        <v>22</v>
      </c>
      <c r="G445" s="1" t="s">
        <v>852</v>
      </c>
      <c r="H445" s="1">
        <v>55</v>
      </c>
      <c r="I445" s="1" t="str">
        <f t="shared" si="6"/>
        <v>46-60</v>
      </c>
      <c r="J445" s="3">
        <v>35919</v>
      </c>
      <c r="K445" s="4">
        <v>62174</v>
      </c>
      <c r="L445" s="5">
        <v>0.17</v>
      </c>
      <c r="M445" s="1" t="s">
        <v>834</v>
      </c>
      <c r="N445" s="1" t="s">
        <v>846</v>
      </c>
      <c r="O445" s="6" t="s">
        <v>26</v>
      </c>
    </row>
    <row r="446" spans="1:15" x14ac:dyDescent="0.35">
      <c r="A446" t="s">
        <v>924</v>
      </c>
      <c r="B446" s="1" t="s">
        <v>925</v>
      </c>
      <c r="C446" s="1" t="s">
        <v>183</v>
      </c>
      <c r="D446" s="1" t="s">
        <v>3</v>
      </c>
      <c r="E446" s="1" t="s">
        <v>21</v>
      </c>
      <c r="F446" s="1" t="s">
        <v>35</v>
      </c>
      <c r="G446" s="1" t="s">
        <v>833</v>
      </c>
      <c r="H446" s="1">
        <v>54</v>
      </c>
      <c r="I446" s="1" t="str">
        <f t="shared" si="6"/>
        <v>46-60</v>
      </c>
      <c r="J446" s="3">
        <v>35933</v>
      </c>
      <c r="K446" s="4">
        <v>68268</v>
      </c>
      <c r="L446" s="5">
        <v>0.06</v>
      </c>
      <c r="M446" s="1" t="s">
        <v>834</v>
      </c>
      <c r="N446" s="1" t="s">
        <v>835</v>
      </c>
      <c r="O446" s="6" t="s">
        <v>26</v>
      </c>
    </row>
    <row r="447" spans="1:15" x14ac:dyDescent="0.35">
      <c r="A447" t="s">
        <v>926</v>
      </c>
      <c r="B447" s="1" t="s">
        <v>927</v>
      </c>
      <c r="C447" s="1" t="s">
        <v>446</v>
      </c>
      <c r="D447" s="1" t="s">
        <v>20</v>
      </c>
      <c r="E447" s="1" t="s">
        <v>21</v>
      </c>
      <c r="F447" s="1" t="s">
        <v>22</v>
      </c>
      <c r="G447" s="1" t="s">
        <v>841</v>
      </c>
      <c r="H447" s="1">
        <v>47</v>
      </c>
      <c r="I447" s="1" t="str">
        <f t="shared" si="6"/>
        <v>46-60</v>
      </c>
      <c r="J447" s="3">
        <v>35990</v>
      </c>
      <c r="K447" s="4">
        <v>99091</v>
      </c>
      <c r="L447" s="5">
        <v>0.13</v>
      </c>
      <c r="M447" s="1" t="s">
        <v>834</v>
      </c>
      <c r="N447" s="1" t="s">
        <v>849</v>
      </c>
      <c r="O447" s="6" t="s">
        <v>26</v>
      </c>
    </row>
    <row r="448" spans="1:15" x14ac:dyDescent="0.35">
      <c r="A448" t="s">
        <v>928</v>
      </c>
      <c r="B448" s="1" t="s">
        <v>929</v>
      </c>
      <c r="C448" s="1" t="s">
        <v>234</v>
      </c>
      <c r="D448" s="1" t="s">
        <v>20</v>
      </c>
      <c r="E448" s="1" t="s">
        <v>41</v>
      </c>
      <c r="F448" s="1" t="s">
        <v>35</v>
      </c>
      <c r="G448" s="1" t="s">
        <v>841</v>
      </c>
      <c r="H448" s="1">
        <v>60</v>
      </c>
      <c r="I448" s="1" t="str">
        <f t="shared" si="6"/>
        <v>&gt;60</v>
      </c>
      <c r="J448" s="3">
        <v>35992</v>
      </c>
      <c r="K448" s="4">
        <v>92932</v>
      </c>
      <c r="L448" s="5">
        <v>0.09</v>
      </c>
      <c r="M448" s="1" t="s">
        <v>834</v>
      </c>
      <c r="N448" s="1" t="s">
        <v>855</v>
      </c>
      <c r="O448" s="6" t="s">
        <v>26</v>
      </c>
    </row>
    <row r="449" spans="1:15" x14ac:dyDescent="0.35">
      <c r="A449" t="s">
        <v>930</v>
      </c>
      <c r="B449" s="1" t="s">
        <v>931</v>
      </c>
      <c r="C449" s="1" t="s">
        <v>29</v>
      </c>
      <c r="D449" s="1" t="s">
        <v>56</v>
      </c>
      <c r="E449" s="1" t="s">
        <v>30</v>
      </c>
      <c r="F449" s="1" t="s">
        <v>22</v>
      </c>
      <c r="G449" s="1" t="s">
        <v>833</v>
      </c>
      <c r="H449" s="1">
        <v>50</v>
      </c>
      <c r="I449" s="1" t="str">
        <f t="shared" si="6"/>
        <v>46-60</v>
      </c>
      <c r="J449" s="3">
        <v>35998</v>
      </c>
      <c r="K449" s="4">
        <v>174895</v>
      </c>
      <c r="L449" s="5">
        <v>0.15</v>
      </c>
      <c r="M449" s="1" t="s">
        <v>834</v>
      </c>
      <c r="N449" s="1" t="s">
        <v>846</v>
      </c>
      <c r="O449" s="6" t="s">
        <v>26</v>
      </c>
    </row>
    <row r="450" spans="1:15" x14ac:dyDescent="0.35">
      <c r="A450" t="s">
        <v>932</v>
      </c>
      <c r="B450" s="1" t="s">
        <v>933</v>
      </c>
      <c r="C450" s="1" t="s">
        <v>335</v>
      </c>
      <c r="D450" s="1" t="s">
        <v>3</v>
      </c>
      <c r="E450" s="1" t="s">
        <v>41</v>
      </c>
      <c r="F450" s="1" t="s">
        <v>22</v>
      </c>
      <c r="G450" s="1" t="s">
        <v>841</v>
      </c>
      <c r="H450" s="1">
        <v>60</v>
      </c>
      <c r="I450" s="1" t="str">
        <f t="shared" si="6"/>
        <v>&gt;60</v>
      </c>
      <c r="J450" s="3">
        <v>36010</v>
      </c>
      <c r="K450" s="4">
        <v>85120</v>
      </c>
      <c r="L450" s="5">
        <v>0.1</v>
      </c>
      <c r="M450" s="1" t="s">
        <v>834</v>
      </c>
      <c r="N450" s="1" t="s">
        <v>934</v>
      </c>
      <c r="O450" s="6" t="s">
        <v>26</v>
      </c>
    </row>
    <row r="451" spans="1:15" x14ac:dyDescent="0.35">
      <c r="A451" t="s">
        <v>935</v>
      </c>
      <c r="B451" s="1" t="s">
        <v>936</v>
      </c>
      <c r="C451" s="1" t="s">
        <v>2</v>
      </c>
      <c r="D451" s="1" t="s">
        <v>1</v>
      </c>
      <c r="E451" s="1" t="s">
        <v>41</v>
      </c>
      <c r="F451" s="1" t="s">
        <v>22</v>
      </c>
      <c r="G451" s="1" t="s">
        <v>833</v>
      </c>
      <c r="H451" s="1">
        <v>54</v>
      </c>
      <c r="I451" s="1" t="str">
        <f t="shared" ref="I451:I514" si="7">IF(H451&gt;=60,"&gt;60",IF(H451&gt;=46,"46-60",IF(H451&gt;=31,"31-45",IF(H451&gt;18,"18-30",""))))</f>
        <v>46-60</v>
      </c>
      <c r="J451" s="3">
        <v>36062</v>
      </c>
      <c r="K451" s="4">
        <v>58006</v>
      </c>
      <c r="L451" s="5">
        <v>0.15</v>
      </c>
      <c r="M451" s="1" t="s">
        <v>834</v>
      </c>
      <c r="N451" s="1" t="s">
        <v>934</v>
      </c>
      <c r="O451" s="6" t="s">
        <v>26</v>
      </c>
    </row>
    <row r="452" spans="1:15" x14ac:dyDescent="0.35">
      <c r="A452" t="s">
        <v>937</v>
      </c>
      <c r="B452" s="1" t="s">
        <v>938</v>
      </c>
      <c r="C452" s="1" t="s">
        <v>110</v>
      </c>
      <c r="D452" s="1" t="s">
        <v>61</v>
      </c>
      <c r="E452" s="1" t="s">
        <v>30</v>
      </c>
      <c r="F452" s="1" t="s">
        <v>35</v>
      </c>
      <c r="G452" s="1" t="s">
        <v>841</v>
      </c>
      <c r="H452" s="1">
        <v>47</v>
      </c>
      <c r="I452" s="1" t="str">
        <f t="shared" si="7"/>
        <v>46-60</v>
      </c>
      <c r="J452" s="3">
        <v>36232</v>
      </c>
      <c r="K452" s="4">
        <v>239394</v>
      </c>
      <c r="L452" s="5">
        <v>0.15</v>
      </c>
      <c r="M452" s="1" t="s">
        <v>834</v>
      </c>
      <c r="N452" s="1" t="s">
        <v>849</v>
      </c>
      <c r="O452" s="6" t="s">
        <v>26</v>
      </c>
    </row>
    <row r="453" spans="1:15" x14ac:dyDescent="0.35">
      <c r="A453" t="s">
        <v>939</v>
      </c>
      <c r="B453" s="1" t="s">
        <v>940</v>
      </c>
      <c r="C453" s="1" t="s">
        <v>60</v>
      </c>
      <c r="D453" s="1" t="s">
        <v>56</v>
      </c>
      <c r="E453" s="1" t="s">
        <v>41</v>
      </c>
      <c r="F453" s="1" t="s">
        <v>22</v>
      </c>
      <c r="G453" s="1" t="s">
        <v>833</v>
      </c>
      <c r="H453" s="1">
        <v>59</v>
      </c>
      <c r="I453" s="1" t="str">
        <f t="shared" si="7"/>
        <v>46-60</v>
      </c>
      <c r="J453" s="3">
        <v>36233</v>
      </c>
      <c r="K453" s="4">
        <v>105086</v>
      </c>
      <c r="L453" s="5">
        <v>0.08</v>
      </c>
      <c r="M453" s="1" t="s">
        <v>834</v>
      </c>
      <c r="N453" s="1" t="s">
        <v>849</v>
      </c>
      <c r="O453" s="6" t="s">
        <v>26</v>
      </c>
    </row>
    <row r="454" spans="1:15" x14ac:dyDescent="0.35">
      <c r="A454" t="s">
        <v>941</v>
      </c>
      <c r="B454" s="1" t="s">
        <v>942</v>
      </c>
      <c r="C454" s="1" t="s">
        <v>329</v>
      </c>
      <c r="D454" s="1" t="s">
        <v>3</v>
      </c>
      <c r="E454" s="1" t="s">
        <v>41</v>
      </c>
      <c r="F454" s="1" t="s">
        <v>22</v>
      </c>
      <c r="G454" s="1" t="s">
        <v>841</v>
      </c>
      <c r="H454" s="1">
        <v>47</v>
      </c>
      <c r="I454" s="1" t="str">
        <f t="shared" si="7"/>
        <v>46-60</v>
      </c>
      <c r="J454" s="3">
        <v>36233</v>
      </c>
      <c r="K454" s="4">
        <v>92897</v>
      </c>
      <c r="L454" s="5">
        <v>0.1</v>
      </c>
      <c r="M454" s="1" t="s">
        <v>842</v>
      </c>
      <c r="N454" s="1" t="s">
        <v>843</v>
      </c>
      <c r="O454" s="6" t="s">
        <v>26</v>
      </c>
    </row>
    <row r="455" spans="1:15" x14ac:dyDescent="0.35">
      <c r="A455" t="s">
        <v>943</v>
      </c>
      <c r="B455" s="1" t="s">
        <v>944</v>
      </c>
      <c r="C455" s="1" t="s">
        <v>60</v>
      </c>
      <c r="D455" s="1" t="s">
        <v>80</v>
      </c>
      <c r="E455" s="1" t="s">
        <v>30</v>
      </c>
      <c r="F455" s="1" t="s">
        <v>35</v>
      </c>
      <c r="G455" s="1" t="s">
        <v>833</v>
      </c>
      <c r="H455" s="1">
        <v>48</v>
      </c>
      <c r="I455" s="1" t="str">
        <f t="shared" si="7"/>
        <v>46-60</v>
      </c>
      <c r="J455" s="3">
        <v>36272</v>
      </c>
      <c r="K455" s="4">
        <v>102847</v>
      </c>
      <c r="L455" s="5">
        <v>0.08</v>
      </c>
      <c r="M455" s="1" t="s">
        <v>834</v>
      </c>
      <c r="N455" s="1" t="s">
        <v>846</v>
      </c>
      <c r="O455" s="6" t="s">
        <v>26</v>
      </c>
    </row>
    <row r="456" spans="1:15" x14ac:dyDescent="0.35">
      <c r="A456" t="s">
        <v>945</v>
      </c>
      <c r="B456" s="1" t="s">
        <v>946</v>
      </c>
      <c r="C456" s="1" t="s">
        <v>40</v>
      </c>
      <c r="D456" s="1" t="s">
        <v>20</v>
      </c>
      <c r="E456" s="1" t="s">
        <v>73</v>
      </c>
      <c r="F456" s="1" t="s">
        <v>22</v>
      </c>
      <c r="G456" s="1" t="s">
        <v>841</v>
      </c>
      <c r="H456" s="1">
        <v>46</v>
      </c>
      <c r="I456" s="1" t="str">
        <f t="shared" si="7"/>
        <v>46-60</v>
      </c>
      <c r="J456" s="3">
        <v>36331</v>
      </c>
      <c r="K456" s="4">
        <v>96997</v>
      </c>
      <c r="L456" s="5">
        <v>0.16</v>
      </c>
      <c r="M456" s="1" t="s">
        <v>842</v>
      </c>
      <c r="N456" s="1" t="s">
        <v>843</v>
      </c>
      <c r="O456" s="6" t="s">
        <v>26</v>
      </c>
    </row>
    <row r="457" spans="1:15" x14ac:dyDescent="0.35">
      <c r="A457" t="s">
        <v>947</v>
      </c>
      <c r="B457" s="1" t="s">
        <v>948</v>
      </c>
      <c r="C457" s="1" t="s">
        <v>102</v>
      </c>
      <c r="D457" s="1" t="s">
        <v>1</v>
      </c>
      <c r="E457" s="1" t="s">
        <v>21</v>
      </c>
      <c r="F457" s="1" t="s">
        <v>35</v>
      </c>
      <c r="G457" s="1" t="s">
        <v>833</v>
      </c>
      <c r="H457" s="1">
        <v>62</v>
      </c>
      <c r="I457" s="1" t="str">
        <f t="shared" si="7"/>
        <v>&gt;60</v>
      </c>
      <c r="J457" s="3">
        <v>36374</v>
      </c>
      <c r="K457" s="4">
        <v>137995</v>
      </c>
      <c r="L457" s="5">
        <v>7.0000000000000007E-2</v>
      </c>
      <c r="M457" s="1" t="s">
        <v>834</v>
      </c>
      <c r="N457" s="1" t="s">
        <v>849</v>
      </c>
      <c r="O457" s="6" t="s">
        <v>26</v>
      </c>
    </row>
    <row r="458" spans="1:15" x14ac:dyDescent="0.35">
      <c r="A458" t="s">
        <v>949</v>
      </c>
      <c r="B458" s="1" t="s">
        <v>950</v>
      </c>
      <c r="C458" s="1" t="s">
        <v>55</v>
      </c>
      <c r="D458" s="1" t="s">
        <v>56</v>
      </c>
      <c r="E458" s="1" t="s">
        <v>21</v>
      </c>
      <c r="F458" s="1" t="s">
        <v>35</v>
      </c>
      <c r="G458" s="1" t="s">
        <v>841</v>
      </c>
      <c r="H458" s="1">
        <v>52</v>
      </c>
      <c r="I458" s="1" t="str">
        <f t="shared" si="7"/>
        <v>46-60</v>
      </c>
      <c r="J458" s="3">
        <v>36416</v>
      </c>
      <c r="K458" s="4">
        <v>92994</v>
      </c>
      <c r="L458" s="5">
        <v>0.06</v>
      </c>
      <c r="M458" s="1" t="s">
        <v>834</v>
      </c>
      <c r="N458" s="1" t="s">
        <v>846</v>
      </c>
      <c r="O458" s="6" t="s">
        <v>26</v>
      </c>
    </row>
    <row r="459" spans="1:15" x14ac:dyDescent="0.35">
      <c r="A459" t="s">
        <v>951</v>
      </c>
      <c r="B459" s="1" t="s">
        <v>952</v>
      </c>
      <c r="C459" s="1" t="s">
        <v>69</v>
      </c>
      <c r="D459" s="1" t="s">
        <v>20</v>
      </c>
      <c r="E459" s="1" t="s">
        <v>73</v>
      </c>
      <c r="F459" s="1" t="s">
        <v>22</v>
      </c>
      <c r="G459" s="1" t="s">
        <v>833</v>
      </c>
      <c r="H459" s="1">
        <v>51</v>
      </c>
      <c r="I459" s="1" t="str">
        <f t="shared" si="7"/>
        <v>46-60</v>
      </c>
      <c r="J459" s="3">
        <v>36442</v>
      </c>
      <c r="K459" s="4">
        <v>95639</v>
      </c>
      <c r="L459" s="5">
        <v>0.11</v>
      </c>
      <c r="M459" s="1" t="s">
        <v>834</v>
      </c>
      <c r="N459" s="1" t="s">
        <v>849</v>
      </c>
      <c r="O459" s="6" t="s">
        <v>26</v>
      </c>
    </row>
    <row r="460" spans="1:15" x14ac:dyDescent="0.35">
      <c r="A460" t="s">
        <v>953</v>
      </c>
      <c r="B460" s="1" t="s">
        <v>954</v>
      </c>
      <c r="C460" s="1" t="s">
        <v>110</v>
      </c>
      <c r="D460" s="1" t="s">
        <v>1</v>
      </c>
      <c r="E460" s="1" t="s">
        <v>30</v>
      </c>
      <c r="F460" s="1" t="s">
        <v>22</v>
      </c>
      <c r="G460" s="1" t="s">
        <v>841</v>
      </c>
      <c r="H460" s="1">
        <v>48</v>
      </c>
      <c r="I460" s="1" t="str">
        <f t="shared" si="7"/>
        <v>46-60</v>
      </c>
      <c r="J460" s="3">
        <v>36584</v>
      </c>
      <c r="K460" s="4">
        <v>258081</v>
      </c>
      <c r="L460" s="5">
        <v>0.11</v>
      </c>
      <c r="M460" s="1" t="s">
        <v>834</v>
      </c>
      <c r="N460" s="1" t="s">
        <v>846</v>
      </c>
      <c r="O460" s="6" t="s">
        <v>26</v>
      </c>
    </row>
    <row r="461" spans="1:15" x14ac:dyDescent="0.35">
      <c r="A461" t="s">
        <v>955</v>
      </c>
      <c r="B461" s="1" t="s">
        <v>956</v>
      </c>
      <c r="C461" s="1" t="s">
        <v>469</v>
      </c>
      <c r="D461" s="1" t="s">
        <v>3</v>
      </c>
      <c r="E461" s="1" t="s">
        <v>30</v>
      </c>
      <c r="F461" s="1" t="s">
        <v>22</v>
      </c>
      <c r="G461" s="1" t="s">
        <v>852</v>
      </c>
      <c r="H461" s="1">
        <v>54</v>
      </c>
      <c r="I461" s="1" t="str">
        <f t="shared" si="7"/>
        <v>46-60</v>
      </c>
      <c r="J461" s="3">
        <v>36617</v>
      </c>
      <c r="K461" s="4">
        <v>76352</v>
      </c>
      <c r="L461" s="5">
        <v>0.06</v>
      </c>
      <c r="M461" s="1" t="s">
        <v>834</v>
      </c>
      <c r="N461" s="1" t="s">
        <v>849</v>
      </c>
      <c r="O461" s="6" t="s">
        <v>26</v>
      </c>
    </row>
    <row r="462" spans="1:15" x14ac:dyDescent="0.35">
      <c r="A462" t="s">
        <v>957</v>
      </c>
      <c r="B462" s="1" t="s">
        <v>958</v>
      </c>
      <c r="C462" s="1" t="s">
        <v>60</v>
      </c>
      <c r="D462" s="1" t="s">
        <v>187</v>
      </c>
      <c r="E462" s="1" t="s">
        <v>21</v>
      </c>
      <c r="F462" s="1" t="s">
        <v>22</v>
      </c>
      <c r="G462" s="1" t="s">
        <v>833</v>
      </c>
      <c r="H462" s="1">
        <v>55</v>
      </c>
      <c r="I462" s="1" t="str">
        <f t="shared" si="7"/>
        <v>46-60</v>
      </c>
      <c r="J462" s="3">
        <v>36644</v>
      </c>
      <c r="K462" s="4">
        <v>115798</v>
      </c>
      <c r="L462" s="5">
        <v>0.05</v>
      </c>
      <c r="M462" s="1" t="s">
        <v>834</v>
      </c>
      <c r="N462" s="1" t="s">
        <v>838</v>
      </c>
      <c r="O462" s="6" t="s">
        <v>26</v>
      </c>
    </row>
    <row r="463" spans="1:15" x14ac:dyDescent="0.35">
      <c r="A463" t="s">
        <v>959</v>
      </c>
      <c r="B463" s="1" t="s">
        <v>960</v>
      </c>
      <c r="C463" s="1" t="s">
        <v>110</v>
      </c>
      <c r="D463" s="1" t="s">
        <v>1</v>
      </c>
      <c r="E463" s="1" t="s">
        <v>41</v>
      </c>
      <c r="F463" s="1" t="s">
        <v>35</v>
      </c>
      <c r="G463" s="1" t="s">
        <v>852</v>
      </c>
      <c r="H463" s="1">
        <v>54</v>
      </c>
      <c r="I463" s="1" t="str">
        <f t="shared" si="7"/>
        <v>46-60</v>
      </c>
      <c r="J463" s="3">
        <v>36757</v>
      </c>
      <c r="K463" s="4">
        <v>222224</v>
      </c>
      <c r="L463" s="5">
        <v>0.1</v>
      </c>
      <c r="M463" s="1" t="s">
        <v>834</v>
      </c>
      <c r="N463" s="1" t="s">
        <v>855</v>
      </c>
      <c r="O463" s="6" t="s">
        <v>26</v>
      </c>
    </row>
    <row r="464" spans="1:15" x14ac:dyDescent="0.35">
      <c r="A464" t="s">
        <v>961</v>
      </c>
      <c r="B464" s="1" t="s">
        <v>962</v>
      </c>
      <c r="C464" s="1" t="s">
        <v>102</v>
      </c>
      <c r="D464" s="1" t="s">
        <v>1</v>
      </c>
      <c r="E464" s="1" t="s">
        <v>30</v>
      </c>
      <c r="F464" s="1" t="s">
        <v>22</v>
      </c>
      <c r="G464" s="1" t="s">
        <v>852</v>
      </c>
      <c r="H464" s="1">
        <v>51</v>
      </c>
      <c r="I464" s="1" t="str">
        <f t="shared" si="7"/>
        <v>46-60</v>
      </c>
      <c r="J464" s="3">
        <v>36770</v>
      </c>
      <c r="K464" s="4">
        <v>157487</v>
      </c>
      <c r="L464" s="5">
        <v>0.15</v>
      </c>
      <c r="M464" s="1" t="s">
        <v>834</v>
      </c>
      <c r="N464" s="1" t="s">
        <v>835</v>
      </c>
      <c r="O464" s="6" t="s">
        <v>26</v>
      </c>
    </row>
    <row r="465" spans="1:15" x14ac:dyDescent="0.35">
      <c r="A465" t="s">
        <v>963</v>
      </c>
      <c r="B465" s="1" t="s">
        <v>964</v>
      </c>
      <c r="C465" s="1" t="s">
        <v>162</v>
      </c>
      <c r="D465" s="1" t="s">
        <v>1</v>
      </c>
      <c r="E465" s="1" t="s">
        <v>21</v>
      </c>
      <c r="F465" s="1" t="s">
        <v>35</v>
      </c>
      <c r="G465" s="1" t="s">
        <v>852</v>
      </c>
      <c r="H465" s="1">
        <v>65</v>
      </c>
      <c r="I465" s="1" t="str">
        <f t="shared" si="7"/>
        <v>&gt;60</v>
      </c>
      <c r="J465" s="3">
        <v>36798</v>
      </c>
      <c r="K465" s="4">
        <v>67837</v>
      </c>
      <c r="L465" s="5">
        <v>0.12</v>
      </c>
      <c r="M465" s="1" t="s">
        <v>834</v>
      </c>
      <c r="N465" s="1" t="s">
        <v>849</v>
      </c>
      <c r="O465" s="6" t="s">
        <v>26</v>
      </c>
    </row>
    <row r="466" spans="1:15" x14ac:dyDescent="0.35">
      <c r="A466" t="s">
        <v>965</v>
      </c>
      <c r="B466" s="1" t="s">
        <v>966</v>
      </c>
      <c r="C466" s="1" t="s">
        <v>69</v>
      </c>
      <c r="D466" s="1" t="s">
        <v>20</v>
      </c>
      <c r="E466" s="1" t="s">
        <v>41</v>
      </c>
      <c r="F466" s="1" t="s">
        <v>22</v>
      </c>
      <c r="G466" s="1" t="s">
        <v>833</v>
      </c>
      <c r="H466" s="1">
        <v>47</v>
      </c>
      <c r="I466" s="1" t="str">
        <f t="shared" si="7"/>
        <v>46-60</v>
      </c>
      <c r="J466" s="3">
        <v>36893</v>
      </c>
      <c r="K466" s="4">
        <v>120628</v>
      </c>
      <c r="L466" s="5">
        <v>0.09</v>
      </c>
      <c r="M466" s="1" t="s">
        <v>834</v>
      </c>
      <c r="N466" s="1" t="s">
        <v>846</v>
      </c>
      <c r="O466" s="6" t="s">
        <v>26</v>
      </c>
    </row>
    <row r="467" spans="1:15" x14ac:dyDescent="0.35">
      <c r="A467" t="s">
        <v>967</v>
      </c>
      <c r="B467" s="1" t="s">
        <v>968</v>
      </c>
      <c r="C467" s="1" t="s">
        <v>102</v>
      </c>
      <c r="D467" s="1" t="s">
        <v>61</v>
      </c>
      <c r="E467" s="1" t="s">
        <v>73</v>
      </c>
      <c r="F467" s="1" t="s">
        <v>35</v>
      </c>
      <c r="G467" s="1" t="s">
        <v>833</v>
      </c>
      <c r="H467" s="1">
        <v>55</v>
      </c>
      <c r="I467" s="1" t="str">
        <f t="shared" si="7"/>
        <v>46-60</v>
      </c>
      <c r="J467" s="3">
        <v>36977</v>
      </c>
      <c r="K467" s="4">
        <v>157812</v>
      </c>
      <c r="L467" s="5">
        <v>0.05</v>
      </c>
      <c r="M467" s="1" t="s">
        <v>834</v>
      </c>
      <c r="N467" s="1" t="s">
        <v>838</v>
      </c>
      <c r="O467" s="6" t="s">
        <v>26</v>
      </c>
    </row>
    <row r="468" spans="1:15" x14ac:dyDescent="0.35">
      <c r="A468" t="s">
        <v>969</v>
      </c>
      <c r="B468" s="1" t="s">
        <v>970</v>
      </c>
      <c r="C468" s="1" t="s">
        <v>342</v>
      </c>
      <c r="D468" s="1" t="s">
        <v>56</v>
      </c>
      <c r="E468" s="1" t="s">
        <v>41</v>
      </c>
      <c r="F468" s="1" t="s">
        <v>22</v>
      </c>
      <c r="G468" s="1" t="s">
        <v>833</v>
      </c>
      <c r="H468" s="1">
        <v>49</v>
      </c>
      <c r="I468" s="1" t="str">
        <f t="shared" si="7"/>
        <v>46-60</v>
      </c>
      <c r="J468" s="3">
        <v>36979</v>
      </c>
      <c r="K468" s="4">
        <v>57606</v>
      </c>
      <c r="L468" s="5">
        <v>0.13</v>
      </c>
      <c r="M468" s="1" t="s">
        <v>834</v>
      </c>
      <c r="N468" s="1" t="s">
        <v>838</v>
      </c>
      <c r="O468" s="6" t="s">
        <v>26</v>
      </c>
    </row>
    <row r="469" spans="1:15" x14ac:dyDescent="0.35">
      <c r="A469" t="s">
        <v>971</v>
      </c>
      <c r="B469" s="1" t="s">
        <v>972</v>
      </c>
      <c r="C469" s="1" t="s">
        <v>329</v>
      </c>
      <c r="D469" s="1" t="s">
        <v>3</v>
      </c>
      <c r="E469" s="1" t="s">
        <v>21</v>
      </c>
      <c r="F469" s="1" t="s">
        <v>22</v>
      </c>
      <c r="G469" s="1" t="s">
        <v>833</v>
      </c>
      <c r="H469" s="1">
        <v>62</v>
      </c>
      <c r="I469" s="1" t="str">
        <f t="shared" si="7"/>
        <v>&gt;60</v>
      </c>
      <c r="J469" s="3">
        <v>36996</v>
      </c>
      <c r="K469" s="4">
        <v>80921</v>
      </c>
      <c r="L469" s="5">
        <v>0.17</v>
      </c>
      <c r="M469" s="1" t="s">
        <v>834</v>
      </c>
      <c r="N469" s="1" t="s">
        <v>855</v>
      </c>
      <c r="O469" s="6" t="s">
        <v>26</v>
      </c>
    </row>
    <row r="470" spans="1:15" x14ac:dyDescent="0.35">
      <c r="A470" t="s">
        <v>973</v>
      </c>
      <c r="B470" s="1" t="s">
        <v>974</v>
      </c>
      <c r="C470" s="1" t="s">
        <v>110</v>
      </c>
      <c r="D470" s="1" t="s">
        <v>3</v>
      </c>
      <c r="E470" s="1" t="s">
        <v>41</v>
      </c>
      <c r="F470" s="1" t="s">
        <v>22</v>
      </c>
      <c r="G470" s="1" t="s">
        <v>841</v>
      </c>
      <c r="H470" s="1">
        <v>51</v>
      </c>
      <c r="I470" s="1" t="str">
        <f t="shared" si="7"/>
        <v>46-60</v>
      </c>
      <c r="J470" s="3">
        <v>37091</v>
      </c>
      <c r="K470" s="4">
        <v>247874</v>
      </c>
      <c r="L470" s="5">
        <v>0.05</v>
      </c>
      <c r="M470" s="1" t="s">
        <v>842</v>
      </c>
      <c r="N470" s="1" t="s">
        <v>864</v>
      </c>
      <c r="O470" s="6" t="s">
        <v>26</v>
      </c>
    </row>
    <row r="471" spans="1:15" x14ac:dyDescent="0.35">
      <c r="A471" t="s">
        <v>975</v>
      </c>
      <c r="B471" s="1" t="s">
        <v>976</v>
      </c>
      <c r="C471" s="1" t="s">
        <v>137</v>
      </c>
      <c r="D471" s="1" t="s">
        <v>3</v>
      </c>
      <c r="E471" s="1" t="s">
        <v>21</v>
      </c>
      <c r="F471" s="1" t="s">
        <v>22</v>
      </c>
      <c r="G471" s="1" t="s">
        <v>841</v>
      </c>
      <c r="H471" s="1">
        <v>45</v>
      </c>
      <c r="I471" s="1" t="str">
        <f t="shared" si="7"/>
        <v>31-45</v>
      </c>
      <c r="J471" s="3">
        <v>37126</v>
      </c>
      <c r="K471" s="4">
        <v>54994</v>
      </c>
      <c r="L471" s="5">
        <v>0.14000000000000001</v>
      </c>
      <c r="M471" s="1" t="s">
        <v>834</v>
      </c>
      <c r="N471" s="1" t="s">
        <v>855</v>
      </c>
      <c r="O471" s="6" t="s">
        <v>26</v>
      </c>
    </row>
    <row r="472" spans="1:15" x14ac:dyDescent="0.35">
      <c r="A472" t="s">
        <v>977</v>
      </c>
      <c r="B472" s="1" t="s">
        <v>978</v>
      </c>
      <c r="C472" s="1" t="s">
        <v>342</v>
      </c>
      <c r="D472" s="1" t="s">
        <v>56</v>
      </c>
      <c r="E472" s="1" t="s">
        <v>21</v>
      </c>
      <c r="F472" s="1" t="s">
        <v>35</v>
      </c>
      <c r="G472" s="1" t="s">
        <v>833</v>
      </c>
      <c r="H472" s="1">
        <v>64</v>
      </c>
      <c r="I472" s="1" t="str">
        <f t="shared" si="7"/>
        <v>&gt;60</v>
      </c>
      <c r="J472" s="3">
        <v>37184</v>
      </c>
      <c r="K472" s="4">
        <v>64057</v>
      </c>
      <c r="L472" s="5">
        <v>0.08</v>
      </c>
      <c r="M472" s="1" t="s">
        <v>834</v>
      </c>
      <c r="N472" s="1" t="s">
        <v>835</v>
      </c>
      <c r="O472" s="6" t="s">
        <v>26</v>
      </c>
    </row>
    <row r="473" spans="1:15" x14ac:dyDescent="0.35">
      <c r="A473" t="s">
        <v>979</v>
      </c>
      <c r="B473" s="1" t="s">
        <v>980</v>
      </c>
      <c r="C473" s="1" t="s">
        <v>102</v>
      </c>
      <c r="D473" s="1" t="s">
        <v>3</v>
      </c>
      <c r="E473" s="1" t="s">
        <v>21</v>
      </c>
      <c r="F473" s="1" t="s">
        <v>35</v>
      </c>
      <c r="G473" s="1" t="s">
        <v>833</v>
      </c>
      <c r="H473" s="1">
        <v>46</v>
      </c>
      <c r="I473" s="1" t="str">
        <f t="shared" si="7"/>
        <v>46-60</v>
      </c>
      <c r="J473" s="3">
        <v>37265</v>
      </c>
      <c r="K473" s="4">
        <v>148035</v>
      </c>
      <c r="L473" s="5">
        <v>0.12</v>
      </c>
      <c r="M473" s="1" t="s">
        <v>834</v>
      </c>
      <c r="N473" s="1" t="s">
        <v>835</v>
      </c>
      <c r="O473" s="6" t="s">
        <v>26</v>
      </c>
    </row>
    <row r="474" spans="1:15" x14ac:dyDescent="0.35">
      <c r="A474" t="s">
        <v>981</v>
      </c>
      <c r="B474" s="1" t="s">
        <v>982</v>
      </c>
      <c r="C474" s="1" t="s">
        <v>144</v>
      </c>
      <c r="D474" s="1" t="s">
        <v>80</v>
      </c>
      <c r="E474" s="1" t="s">
        <v>73</v>
      </c>
      <c r="F474" s="1" t="s">
        <v>35</v>
      </c>
      <c r="G474" s="1" t="s">
        <v>841</v>
      </c>
      <c r="H474" s="1">
        <v>53</v>
      </c>
      <c r="I474" s="1" t="str">
        <f t="shared" si="7"/>
        <v>46-60</v>
      </c>
      <c r="J474" s="3">
        <v>37296</v>
      </c>
      <c r="K474" s="4">
        <v>58605</v>
      </c>
      <c r="L474" s="5">
        <v>0.09</v>
      </c>
      <c r="M474" s="1" t="s">
        <v>834</v>
      </c>
      <c r="N474" s="1" t="s">
        <v>835</v>
      </c>
      <c r="O474" s="6" t="s">
        <v>26</v>
      </c>
    </row>
    <row r="475" spans="1:15" x14ac:dyDescent="0.35">
      <c r="A475" t="s">
        <v>983</v>
      </c>
      <c r="B475" s="1" t="s">
        <v>984</v>
      </c>
      <c r="C475" s="1" t="s">
        <v>60</v>
      </c>
      <c r="D475" s="1" t="s">
        <v>187</v>
      </c>
      <c r="E475" s="1" t="s">
        <v>21</v>
      </c>
      <c r="F475" s="1" t="s">
        <v>22</v>
      </c>
      <c r="G475" s="1" t="s">
        <v>833</v>
      </c>
      <c r="H475" s="1">
        <v>44</v>
      </c>
      <c r="I475" s="1" t="str">
        <f t="shared" si="7"/>
        <v>31-45</v>
      </c>
      <c r="J475" s="3">
        <v>37296</v>
      </c>
      <c r="K475" s="4">
        <v>117545</v>
      </c>
      <c r="L475" s="5">
        <v>0.05</v>
      </c>
      <c r="M475" s="1" t="s">
        <v>834</v>
      </c>
      <c r="N475" s="1" t="s">
        <v>835</v>
      </c>
      <c r="O475" s="6" t="s">
        <v>26</v>
      </c>
    </row>
    <row r="476" spans="1:15" x14ac:dyDescent="0.35">
      <c r="A476" t="s">
        <v>985</v>
      </c>
      <c r="B476" s="1" t="s">
        <v>986</v>
      </c>
      <c r="C476" s="1" t="s">
        <v>137</v>
      </c>
      <c r="D476" s="1" t="s">
        <v>3</v>
      </c>
      <c r="E476" s="1" t="s">
        <v>73</v>
      </c>
      <c r="F476" s="1" t="s">
        <v>22</v>
      </c>
      <c r="G476" s="1" t="s">
        <v>833</v>
      </c>
      <c r="H476" s="1">
        <v>48</v>
      </c>
      <c r="I476" s="1" t="str">
        <f t="shared" si="7"/>
        <v>46-60</v>
      </c>
      <c r="J476" s="3">
        <v>37298</v>
      </c>
      <c r="K476" s="4">
        <v>43080</v>
      </c>
      <c r="L476" s="5">
        <v>0.16</v>
      </c>
      <c r="M476" s="1" t="s">
        <v>834</v>
      </c>
      <c r="N476" s="1" t="s">
        <v>849</v>
      </c>
      <c r="O476" s="6" t="s">
        <v>26</v>
      </c>
    </row>
    <row r="477" spans="1:15" x14ac:dyDescent="0.35">
      <c r="A477" t="s">
        <v>987</v>
      </c>
      <c r="B477" s="1" t="s">
        <v>988</v>
      </c>
      <c r="C477" s="1" t="s">
        <v>40</v>
      </c>
      <c r="D477" s="1" t="s">
        <v>20</v>
      </c>
      <c r="E477" s="1" t="s">
        <v>41</v>
      </c>
      <c r="F477" s="1" t="s">
        <v>22</v>
      </c>
      <c r="G477" s="1" t="s">
        <v>841</v>
      </c>
      <c r="H477" s="1">
        <v>45</v>
      </c>
      <c r="I477" s="1" t="str">
        <f t="shared" si="7"/>
        <v>31-45</v>
      </c>
      <c r="J477" s="3">
        <v>37313</v>
      </c>
      <c r="K477" s="4">
        <v>75819</v>
      </c>
      <c r="L477" s="5">
        <v>0.11</v>
      </c>
      <c r="M477" s="1" t="s">
        <v>842</v>
      </c>
      <c r="N477" s="1" t="s">
        <v>843</v>
      </c>
      <c r="O477" s="6" t="s">
        <v>26</v>
      </c>
    </row>
    <row r="478" spans="1:15" x14ac:dyDescent="0.35">
      <c r="A478" t="s">
        <v>989</v>
      </c>
      <c r="B478" s="1" t="s">
        <v>990</v>
      </c>
      <c r="C478" s="1" t="s">
        <v>29</v>
      </c>
      <c r="D478" s="1" t="s">
        <v>80</v>
      </c>
      <c r="E478" s="1" t="s">
        <v>21</v>
      </c>
      <c r="F478" s="1" t="s">
        <v>35</v>
      </c>
      <c r="G478" s="1" t="s">
        <v>852</v>
      </c>
      <c r="H478" s="1">
        <v>65</v>
      </c>
      <c r="I478" s="1" t="str">
        <f t="shared" si="7"/>
        <v>&gt;60</v>
      </c>
      <c r="J478" s="3">
        <v>37319</v>
      </c>
      <c r="K478" s="4">
        <v>175837</v>
      </c>
      <c r="L478" s="5">
        <v>0.14000000000000001</v>
      </c>
      <c r="M478" s="1" t="s">
        <v>834</v>
      </c>
      <c r="N478" s="1" t="s">
        <v>835</v>
      </c>
      <c r="O478" s="6" t="s">
        <v>26</v>
      </c>
    </row>
    <row r="479" spans="1:15" x14ac:dyDescent="0.35">
      <c r="A479" t="s">
        <v>991</v>
      </c>
      <c r="B479" s="1" t="s">
        <v>992</v>
      </c>
      <c r="C479" s="1" t="s">
        <v>40</v>
      </c>
      <c r="D479" s="1" t="s">
        <v>20</v>
      </c>
      <c r="E479" s="1" t="s">
        <v>41</v>
      </c>
      <c r="F479" s="1" t="s">
        <v>22</v>
      </c>
      <c r="G479" s="1" t="s">
        <v>833</v>
      </c>
      <c r="H479" s="1">
        <v>58</v>
      </c>
      <c r="I479" s="1" t="str">
        <f t="shared" si="7"/>
        <v>46-60</v>
      </c>
      <c r="J479" s="3">
        <v>37399</v>
      </c>
      <c r="K479" s="4">
        <v>76354</v>
      </c>
      <c r="L479" s="5">
        <v>0.11</v>
      </c>
      <c r="M479" s="1" t="s">
        <v>834</v>
      </c>
      <c r="N479" s="1" t="s">
        <v>835</v>
      </c>
      <c r="O479" s="6">
        <v>44465</v>
      </c>
    </row>
    <row r="480" spans="1:15" x14ac:dyDescent="0.35">
      <c r="A480" t="s">
        <v>993</v>
      </c>
      <c r="B480" s="1" t="s">
        <v>994</v>
      </c>
      <c r="C480" s="1" t="s">
        <v>29</v>
      </c>
      <c r="D480" s="1" t="s">
        <v>3</v>
      </c>
      <c r="E480" s="1" t="s">
        <v>21</v>
      </c>
      <c r="F480" s="1" t="s">
        <v>22</v>
      </c>
      <c r="G480" s="1" t="s">
        <v>841</v>
      </c>
      <c r="H480" s="1">
        <v>59</v>
      </c>
      <c r="I480" s="1" t="str">
        <f t="shared" si="7"/>
        <v>46-60</v>
      </c>
      <c r="J480" s="3">
        <v>37400</v>
      </c>
      <c r="K480" s="4">
        <v>172787</v>
      </c>
      <c r="L480" s="5">
        <v>0.06</v>
      </c>
      <c r="M480" s="1" t="s">
        <v>842</v>
      </c>
      <c r="N480" s="1" t="s">
        <v>871</v>
      </c>
      <c r="O480" s="6" t="s">
        <v>26</v>
      </c>
    </row>
    <row r="481" spans="1:15" x14ac:dyDescent="0.35">
      <c r="A481" t="s">
        <v>995</v>
      </c>
      <c r="B481" s="1" t="s">
        <v>996</v>
      </c>
      <c r="C481" s="1" t="s">
        <v>110</v>
      </c>
      <c r="D481" s="1" t="s">
        <v>61</v>
      </c>
      <c r="E481" s="1" t="s">
        <v>73</v>
      </c>
      <c r="F481" s="1" t="s">
        <v>22</v>
      </c>
      <c r="G481" s="1" t="s">
        <v>833</v>
      </c>
      <c r="H481" s="1">
        <v>52</v>
      </c>
      <c r="I481" s="1" t="str">
        <f t="shared" si="7"/>
        <v>46-60</v>
      </c>
      <c r="J481" s="3">
        <v>37418</v>
      </c>
      <c r="K481" s="4">
        <v>236314</v>
      </c>
      <c r="L481" s="5">
        <v>0.13</v>
      </c>
      <c r="M481" s="1" t="s">
        <v>834</v>
      </c>
      <c r="N481" s="1" t="s">
        <v>838</v>
      </c>
      <c r="O481" s="6" t="s">
        <v>26</v>
      </c>
    </row>
    <row r="482" spans="1:15" x14ac:dyDescent="0.35">
      <c r="A482" t="s">
        <v>997</v>
      </c>
      <c r="B482" s="1" t="s">
        <v>998</v>
      </c>
      <c r="C482" s="1" t="s">
        <v>45</v>
      </c>
      <c r="D482" s="1" t="s">
        <v>80</v>
      </c>
      <c r="E482" s="1" t="s">
        <v>41</v>
      </c>
      <c r="F482" s="1" t="s">
        <v>22</v>
      </c>
      <c r="G482" s="1" t="s">
        <v>833</v>
      </c>
      <c r="H482" s="1">
        <v>55</v>
      </c>
      <c r="I482" s="1" t="str">
        <f t="shared" si="7"/>
        <v>46-60</v>
      </c>
      <c r="J482" s="3">
        <v>37456</v>
      </c>
      <c r="K482" s="4">
        <v>77396</v>
      </c>
      <c r="L482" s="5">
        <v>0.11</v>
      </c>
      <c r="M482" s="1" t="s">
        <v>834</v>
      </c>
      <c r="N482" s="1" t="s">
        <v>838</v>
      </c>
      <c r="O482" s="6" t="s">
        <v>26</v>
      </c>
    </row>
    <row r="483" spans="1:15" x14ac:dyDescent="0.35">
      <c r="A483" t="s">
        <v>999</v>
      </c>
      <c r="B483" s="1" t="s">
        <v>1000</v>
      </c>
      <c r="C483" s="1" t="s">
        <v>110</v>
      </c>
      <c r="D483" s="1" t="s">
        <v>56</v>
      </c>
      <c r="E483" s="1" t="s">
        <v>30</v>
      </c>
      <c r="F483" s="1" t="s">
        <v>22</v>
      </c>
      <c r="G483" s="1" t="s">
        <v>841</v>
      </c>
      <c r="H483" s="1">
        <v>62</v>
      </c>
      <c r="I483" s="1" t="str">
        <f t="shared" si="7"/>
        <v>&gt;60</v>
      </c>
      <c r="J483" s="3">
        <v>37484</v>
      </c>
      <c r="K483" s="4">
        <v>234594</v>
      </c>
      <c r="L483" s="5">
        <v>0.13</v>
      </c>
      <c r="M483" s="1" t="s">
        <v>834</v>
      </c>
      <c r="N483" s="1" t="s">
        <v>934</v>
      </c>
      <c r="O483" s="6" t="s">
        <v>26</v>
      </c>
    </row>
    <row r="484" spans="1:15" x14ac:dyDescent="0.35">
      <c r="A484" t="s">
        <v>1001</v>
      </c>
      <c r="B484" s="1" t="s">
        <v>1002</v>
      </c>
      <c r="C484" s="1" t="s">
        <v>162</v>
      </c>
      <c r="D484" s="1" t="s">
        <v>1</v>
      </c>
      <c r="E484" s="1" t="s">
        <v>41</v>
      </c>
      <c r="F484" s="1" t="s">
        <v>22</v>
      </c>
      <c r="G484" s="1" t="s">
        <v>852</v>
      </c>
      <c r="H484" s="1">
        <v>47</v>
      </c>
      <c r="I484" s="1" t="str">
        <f t="shared" si="7"/>
        <v>46-60</v>
      </c>
      <c r="J484" s="3">
        <v>37550</v>
      </c>
      <c r="K484" s="4">
        <v>70122</v>
      </c>
      <c r="L484" s="5">
        <v>0.05</v>
      </c>
      <c r="M484" s="1" t="s">
        <v>834</v>
      </c>
      <c r="N484" s="1" t="s">
        <v>855</v>
      </c>
      <c r="O484" s="6" t="s">
        <v>26</v>
      </c>
    </row>
    <row r="485" spans="1:15" x14ac:dyDescent="0.35">
      <c r="A485" t="s">
        <v>1003</v>
      </c>
      <c r="B485" s="1" t="s">
        <v>1004</v>
      </c>
      <c r="C485" s="1" t="s">
        <v>2</v>
      </c>
      <c r="D485" s="1" t="s">
        <v>61</v>
      </c>
      <c r="E485" s="1" t="s">
        <v>73</v>
      </c>
      <c r="F485" s="1" t="s">
        <v>35</v>
      </c>
      <c r="G485" s="1" t="s">
        <v>833</v>
      </c>
      <c r="H485" s="1">
        <v>64</v>
      </c>
      <c r="I485" s="1" t="str">
        <f t="shared" si="7"/>
        <v>&gt;60</v>
      </c>
      <c r="J485" s="3">
        <v>37662</v>
      </c>
      <c r="K485" s="4">
        <v>57032</v>
      </c>
      <c r="L485" s="5">
        <v>7.0000000000000007E-2</v>
      </c>
      <c r="M485" s="1" t="s">
        <v>834</v>
      </c>
      <c r="N485" s="1" t="s">
        <v>838</v>
      </c>
      <c r="O485" s="6" t="s">
        <v>26</v>
      </c>
    </row>
    <row r="486" spans="1:15" x14ac:dyDescent="0.35">
      <c r="A486" t="s">
        <v>1005</v>
      </c>
      <c r="B486" s="1" t="s">
        <v>1006</v>
      </c>
      <c r="C486" s="1" t="s">
        <v>102</v>
      </c>
      <c r="D486" s="1" t="s">
        <v>1</v>
      </c>
      <c r="E486" s="1" t="s">
        <v>73</v>
      </c>
      <c r="F486" s="1" t="s">
        <v>22</v>
      </c>
      <c r="G486" s="1" t="s">
        <v>833</v>
      </c>
      <c r="H486" s="1">
        <v>50</v>
      </c>
      <c r="I486" s="1" t="str">
        <f t="shared" si="7"/>
        <v>46-60</v>
      </c>
      <c r="J486" s="3">
        <v>37705</v>
      </c>
      <c r="K486" s="4">
        <v>123405</v>
      </c>
      <c r="L486" s="5">
        <v>0.15</v>
      </c>
      <c r="M486" s="1" t="s">
        <v>834</v>
      </c>
      <c r="N486" s="1" t="s">
        <v>855</v>
      </c>
      <c r="O486" s="6" t="s">
        <v>26</v>
      </c>
    </row>
    <row r="487" spans="1:15" x14ac:dyDescent="0.35">
      <c r="A487" t="s">
        <v>1007</v>
      </c>
      <c r="B487" s="1" t="s">
        <v>1008</v>
      </c>
      <c r="C487" s="1" t="s">
        <v>29</v>
      </c>
      <c r="D487" s="1" t="s">
        <v>20</v>
      </c>
      <c r="E487" s="1" t="s">
        <v>21</v>
      </c>
      <c r="F487" s="1" t="s">
        <v>35</v>
      </c>
      <c r="G487" s="1" t="s">
        <v>841</v>
      </c>
      <c r="H487" s="1">
        <v>59</v>
      </c>
      <c r="I487" s="1" t="str">
        <f t="shared" si="7"/>
        <v>46-60</v>
      </c>
      <c r="J487" s="3">
        <v>37726</v>
      </c>
      <c r="K487" s="4">
        <v>150699</v>
      </c>
      <c r="L487" s="5">
        <v>0.05</v>
      </c>
      <c r="M487" s="1" t="s">
        <v>842</v>
      </c>
      <c r="N487" s="1" t="s">
        <v>843</v>
      </c>
      <c r="O487" s="6" t="s">
        <v>26</v>
      </c>
    </row>
    <row r="488" spans="1:15" x14ac:dyDescent="0.35">
      <c r="A488" t="s">
        <v>1009</v>
      </c>
      <c r="B488" s="1" t="s">
        <v>1010</v>
      </c>
      <c r="C488" s="1" t="s">
        <v>45</v>
      </c>
      <c r="D488" s="1" t="s">
        <v>187</v>
      </c>
      <c r="E488" s="1" t="s">
        <v>73</v>
      </c>
      <c r="F488" s="1" t="s">
        <v>22</v>
      </c>
      <c r="G488" s="1" t="s">
        <v>833</v>
      </c>
      <c r="H488" s="1">
        <v>62</v>
      </c>
      <c r="I488" s="1" t="str">
        <f t="shared" si="7"/>
        <v>&gt;60</v>
      </c>
      <c r="J488" s="3">
        <v>37733</v>
      </c>
      <c r="K488" s="4">
        <v>76906</v>
      </c>
      <c r="L488" s="5">
        <v>0.06</v>
      </c>
      <c r="M488" s="1" t="s">
        <v>834</v>
      </c>
      <c r="N488" s="1" t="s">
        <v>934</v>
      </c>
      <c r="O488" s="6" t="s">
        <v>26</v>
      </c>
    </row>
    <row r="489" spans="1:15" x14ac:dyDescent="0.35">
      <c r="A489" t="s">
        <v>1011</v>
      </c>
      <c r="B489" s="1" t="s">
        <v>1012</v>
      </c>
      <c r="C489" s="1" t="s">
        <v>110</v>
      </c>
      <c r="D489" s="1" t="s">
        <v>61</v>
      </c>
      <c r="E489" s="1" t="s">
        <v>21</v>
      </c>
      <c r="F489" s="1" t="s">
        <v>22</v>
      </c>
      <c r="G489" s="1" t="s">
        <v>841</v>
      </c>
      <c r="H489" s="1">
        <v>57</v>
      </c>
      <c r="I489" s="1" t="str">
        <f t="shared" si="7"/>
        <v>46-60</v>
      </c>
      <c r="J489" s="3">
        <v>37828</v>
      </c>
      <c r="K489" s="4">
        <v>206624</v>
      </c>
      <c r="L489" s="5">
        <v>7.0000000000000007E-2</v>
      </c>
      <c r="M489" s="1" t="s">
        <v>842</v>
      </c>
      <c r="N489" s="1" t="s">
        <v>843</v>
      </c>
      <c r="O489" s="6" t="s">
        <v>26</v>
      </c>
    </row>
    <row r="490" spans="1:15" x14ac:dyDescent="0.35">
      <c r="A490" t="s">
        <v>1013</v>
      </c>
      <c r="B490" s="1" t="s">
        <v>1014</v>
      </c>
      <c r="C490" s="1" t="s">
        <v>123</v>
      </c>
      <c r="D490" s="1" t="s">
        <v>3</v>
      </c>
      <c r="E490" s="1" t="s">
        <v>30</v>
      </c>
      <c r="F490" s="1" t="s">
        <v>22</v>
      </c>
      <c r="G490" s="1" t="s">
        <v>833</v>
      </c>
      <c r="H490" s="1">
        <v>48</v>
      </c>
      <c r="I490" s="1" t="str">
        <f t="shared" si="7"/>
        <v>46-60</v>
      </c>
      <c r="J490" s="3">
        <v>37844</v>
      </c>
      <c r="K490" s="4">
        <v>93017</v>
      </c>
      <c r="L490" s="5">
        <v>7.0000000000000007E-2</v>
      </c>
      <c r="M490" s="1" t="s">
        <v>834</v>
      </c>
      <c r="N490" s="1" t="s">
        <v>934</v>
      </c>
      <c r="O490" s="6" t="s">
        <v>26</v>
      </c>
    </row>
    <row r="491" spans="1:15" x14ac:dyDescent="0.35">
      <c r="A491" t="s">
        <v>1015</v>
      </c>
      <c r="B491" s="1" t="s">
        <v>1016</v>
      </c>
      <c r="C491" s="1" t="s">
        <v>102</v>
      </c>
      <c r="D491" s="1" t="s">
        <v>56</v>
      </c>
      <c r="E491" s="1" t="s">
        <v>21</v>
      </c>
      <c r="F491" s="1" t="s">
        <v>22</v>
      </c>
      <c r="G491" s="1" t="s">
        <v>852</v>
      </c>
      <c r="H491" s="1">
        <v>42</v>
      </c>
      <c r="I491" s="1" t="str">
        <f t="shared" si="7"/>
        <v>31-45</v>
      </c>
      <c r="J491" s="3">
        <v>37914</v>
      </c>
      <c r="K491" s="4">
        <v>135558</v>
      </c>
      <c r="L491" s="5">
        <v>0.12</v>
      </c>
      <c r="M491" s="1" t="s">
        <v>834</v>
      </c>
      <c r="N491" s="1" t="s">
        <v>835</v>
      </c>
      <c r="O491" s="6" t="s">
        <v>26</v>
      </c>
    </row>
    <row r="492" spans="1:15" x14ac:dyDescent="0.35">
      <c r="A492" t="s">
        <v>1017</v>
      </c>
      <c r="B492" s="1" t="s">
        <v>1018</v>
      </c>
      <c r="C492" s="1" t="s">
        <v>102</v>
      </c>
      <c r="D492" s="1" t="s">
        <v>61</v>
      </c>
      <c r="E492" s="1" t="s">
        <v>73</v>
      </c>
      <c r="F492" s="1" t="s">
        <v>35</v>
      </c>
      <c r="G492" s="1" t="s">
        <v>841</v>
      </c>
      <c r="H492" s="1">
        <v>64</v>
      </c>
      <c r="I492" s="1" t="str">
        <f t="shared" si="7"/>
        <v>&gt;60</v>
      </c>
      <c r="J492" s="3">
        <v>37956</v>
      </c>
      <c r="K492" s="4">
        <v>154828</v>
      </c>
      <c r="L492" s="5">
        <v>0.17</v>
      </c>
      <c r="M492" s="1" t="s">
        <v>834</v>
      </c>
      <c r="N492" s="1" t="s">
        <v>934</v>
      </c>
      <c r="O492" s="6" t="s">
        <v>26</v>
      </c>
    </row>
    <row r="493" spans="1:15" x14ac:dyDescent="0.35">
      <c r="A493" t="s">
        <v>1019</v>
      </c>
      <c r="B493" s="1" t="s">
        <v>1020</v>
      </c>
      <c r="C493" s="1" t="s">
        <v>102</v>
      </c>
      <c r="D493" s="1" t="s">
        <v>3</v>
      </c>
      <c r="E493" s="1" t="s">
        <v>21</v>
      </c>
      <c r="F493" s="1" t="s">
        <v>35</v>
      </c>
      <c r="G493" s="1" t="s">
        <v>841</v>
      </c>
      <c r="H493" s="1">
        <v>49</v>
      </c>
      <c r="I493" s="1" t="str">
        <f t="shared" si="7"/>
        <v>46-60</v>
      </c>
      <c r="J493" s="3">
        <v>38000</v>
      </c>
      <c r="K493" s="4">
        <v>125086</v>
      </c>
      <c r="L493" s="5">
        <v>0.12</v>
      </c>
      <c r="M493" s="1" t="s">
        <v>842</v>
      </c>
      <c r="N493" s="1" t="s">
        <v>843</v>
      </c>
      <c r="O493" s="6" t="s">
        <v>26</v>
      </c>
    </row>
    <row r="494" spans="1:15" x14ac:dyDescent="0.35">
      <c r="A494" t="s">
        <v>1021</v>
      </c>
      <c r="B494" s="1" t="s">
        <v>1022</v>
      </c>
      <c r="C494" s="1" t="s">
        <v>110</v>
      </c>
      <c r="D494" s="1" t="s">
        <v>80</v>
      </c>
      <c r="E494" s="1" t="s">
        <v>30</v>
      </c>
      <c r="F494" s="1" t="s">
        <v>22</v>
      </c>
      <c r="G494" s="1" t="s">
        <v>841</v>
      </c>
      <c r="H494" s="1">
        <v>50</v>
      </c>
      <c r="I494" s="1" t="str">
        <f t="shared" si="7"/>
        <v>46-60</v>
      </c>
      <c r="J494" s="3">
        <v>38004</v>
      </c>
      <c r="K494" s="4">
        <v>247939</v>
      </c>
      <c r="L494" s="5">
        <v>0.05</v>
      </c>
      <c r="M494" s="1" t="s">
        <v>842</v>
      </c>
      <c r="N494" s="1" t="s">
        <v>871</v>
      </c>
      <c r="O494" s="6" t="s">
        <v>26</v>
      </c>
    </row>
    <row r="495" spans="1:15" x14ac:dyDescent="0.35">
      <c r="A495" t="s">
        <v>1023</v>
      </c>
      <c r="B495" s="1" t="s">
        <v>1024</v>
      </c>
      <c r="C495" s="1" t="s">
        <v>183</v>
      </c>
      <c r="D495" s="1" t="s">
        <v>3</v>
      </c>
      <c r="E495" s="1" t="s">
        <v>30</v>
      </c>
      <c r="F495" s="1" t="s">
        <v>22</v>
      </c>
      <c r="G495" s="1" t="s">
        <v>852</v>
      </c>
      <c r="H495" s="1">
        <v>61</v>
      </c>
      <c r="I495" s="1" t="str">
        <f t="shared" si="7"/>
        <v>&gt;60</v>
      </c>
      <c r="J495" s="3">
        <v>38013</v>
      </c>
      <c r="K495" s="4">
        <v>88478</v>
      </c>
      <c r="L495" s="5">
        <v>0.11</v>
      </c>
      <c r="M495" s="1" t="s">
        <v>834</v>
      </c>
      <c r="N495" s="1" t="s">
        <v>849</v>
      </c>
      <c r="O495" s="6" t="s">
        <v>26</v>
      </c>
    </row>
    <row r="496" spans="1:15" x14ac:dyDescent="0.35">
      <c r="A496" t="s">
        <v>1025</v>
      </c>
      <c r="B496" s="1" t="s">
        <v>1026</v>
      </c>
      <c r="C496" s="1" t="s">
        <v>45</v>
      </c>
      <c r="D496" s="1" t="s">
        <v>1</v>
      </c>
      <c r="E496" s="1" t="s">
        <v>30</v>
      </c>
      <c r="F496" s="1" t="s">
        <v>22</v>
      </c>
      <c r="G496" s="1" t="s">
        <v>852</v>
      </c>
      <c r="H496" s="1">
        <v>43</v>
      </c>
      <c r="I496" s="1" t="str">
        <f t="shared" si="7"/>
        <v>31-45</v>
      </c>
      <c r="J496" s="3">
        <v>38093</v>
      </c>
      <c r="K496" s="4">
        <v>94246</v>
      </c>
      <c r="L496" s="5">
        <v>7.0000000000000007E-2</v>
      </c>
      <c r="M496" s="1" t="s">
        <v>834</v>
      </c>
      <c r="N496" s="1" t="s">
        <v>849</v>
      </c>
      <c r="O496" s="6" t="s">
        <v>26</v>
      </c>
    </row>
    <row r="497" spans="1:15" x14ac:dyDescent="0.35">
      <c r="A497" t="s">
        <v>1027</v>
      </c>
      <c r="B497" s="1" t="s">
        <v>1028</v>
      </c>
      <c r="C497" s="1" t="s">
        <v>169</v>
      </c>
      <c r="D497" s="1" t="s">
        <v>3</v>
      </c>
      <c r="E497" s="1" t="s">
        <v>41</v>
      </c>
      <c r="F497" s="1" t="s">
        <v>35</v>
      </c>
      <c r="G497" s="1" t="s">
        <v>833</v>
      </c>
      <c r="H497" s="1">
        <v>55</v>
      </c>
      <c r="I497" s="1" t="str">
        <f t="shared" si="7"/>
        <v>46-60</v>
      </c>
      <c r="J497" s="3">
        <v>38107</v>
      </c>
      <c r="K497" s="4">
        <v>40124</v>
      </c>
      <c r="L497" s="5">
        <v>0.17</v>
      </c>
      <c r="M497" s="1" t="s">
        <v>834</v>
      </c>
      <c r="N497" s="1" t="s">
        <v>849</v>
      </c>
      <c r="O497" s="6" t="s">
        <v>26</v>
      </c>
    </row>
    <row r="498" spans="1:15" x14ac:dyDescent="0.35">
      <c r="A498" t="s">
        <v>1029</v>
      </c>
      <c r="B498" s="1" t="s">
        <v>1030</v>
      </c>
      <c r="C498" s="1" t="s">
        <v>2</v>
      </c>
      <c r="D498" s="1" t="s">
        <v>80</v>
      </c>
      <c r="E498" s="1" t="s">
        <v>41</v>
      </c>
      <c r="F498" s="1" t="s">
        <v>22</v>
      </c>
      <c r="G498" s="1" t="s">
        <v>841</v>
      </c>
      <c r="H498" s="1">
        <v>65</v>
      </c>
      <c r="I498" s="1" t="str">
        <f t="shared" si="7"/>
        <v>&gt;60</v>
      </c>
      <c r="J498" s="3">
        <v>38123</v>
      </c>
      <c r="K498" s="4">
        <v>55499</v>
      </c>
      <c r="L498" s="5">
        <v>0.06</v>
      </c>
      <c r="M498" s="1" t="s">
        <v>842</v>
      </c>
      <c r="N498" s="1" t="s">
        <v>864</v>
      </c>
      <c r="O498" s="6" t="s">
        <v>26</v>
      </c>
    </row>
    <row r="499" spans="1:15" x14ac:dyDescent="0.35">
      <c r="A499" t="s">
        <v>1031</v>
      </c>
      <c r="B499" s="1" t="s">
        <v>1032</v>
      </c>
      <c r="C499" s="1" t="s">
        <v>29</v>
      </c>
      <c r="D499" s="1" t="s">
        <v>56</v>
      </c>
      <c r="E499" s="1" t="s">
        <v>73</v>
      </c>
      <c r="F499" s="1" t="s">
        <v>35</v>
      </c>
      <c r="G499" s="1" t="s">
        <v>841</v>
      </c>
      <c r="H499" s="1">
        <v>65</v>
      </c>
      <c r="I499" s="1" t="str">
        <f t="shared" si="7"/>
        <v>&gt;60</v>
      </c>
      <c r="J499" s="3">
        <v>38130</v>
      </c>
      <c r="K499" s="4">
        <v>153938</v>
      </c>
      <c r="L499" s="5">
        <v>0.08</v>
      </c>
      <c r="M499" s="1" t="s">
        <v>834</v>
      </c>
      <c r="N499" s="1" t="s">
        <v>835</v>
      </c>
      <c r="O499" s="6" t="s">
        <v>26</v>
      </c>
    </row>
    <row r="500" spans="1:15" x14ac:dyDescent="0.35">
      <c r="A500" t="s">
        <v>1033</v>
      </c>
      <c r="B500" s="1" t="s">
        <v>1034</v>
      </c>
      <c r="C500" s="1" t="s">
        <v>102</v>
      </c>
      <c r="D500" s="1" t="s">
        <v>187</v>
      </c>
      <c r="E500" s="1" t="s">
        <v>30</v>
      </c>
      <c r="F500" s="1" t="s">
        <v>35</v>
      </c>
      <c r="G500" s="1" t="s">
        <v>833</v>
      </c>
      <c r="H500" s="1">
        <v>55</v>
      </c>
      <c r="I500" s="1" t="str">
        <f t="shared" si="7"/>
        <v>46-60</v>
      </c>
      <c r="J500" s="3">
        <v>38135</v>
      </c>
      <c r="K500" s="4">
        <v>159885</v>
      </c>
      <c r="L500" s="5">
        <v>0.15</v>
      </c>
      <c r="M500" s="1" t="s">
        <v>834</v>
      </c>
      <c r="N500" s="1" t="s">
        <v>855</v>
      </c>
      <c r="O500" s="6" t="s">
        <v>26</v>
      </c>
    </row>
    <row r="501" spans="1:15" x14ac:dyDescent="0.35">
      <c r="A501" t="s">
        <v>1035</v>
      </c>
      <c r="B501" s="1" t="s">
        <v>1036</v>
      </c>
      <c r="C501" s="1" t="s">
        <v>536</v>
      </c>
      <c r="D501" s="1" t="s">
        <v>3</v>
      </c>
      <c r="E501" s="1" t="s">
        <v>41</v>
      </c>
      <c r="F501" s="1" t="s">
        <v>35</v>
      </c>
      <c r="G501" s="1" t="s">
        <v>833</v>
      </c>
      <c r="H501" s="1">
        <v>64</v>
      </c>
      <c r="I501" s="1" t="str">
        <f t="shared" si="7"/>
        <v>&gt;60</v>
      </c>
      <c r="J501" s="3">
        <v>38176</v>
      </c>
      <c r="K501" s="4">
        <v>77903</v>
      </c>
      <c r="L501" s="5">
        <v>0.06</v>
      </c>
      <c r="M501" s="1" t="s">
        <v>834</v>
      </c>
      <c r="N501" s="1" t="s">
        <v>934</v>
      </c>
      <c r="O501" s="6" t="s">
        <v>26</v>
      </c>
    </row>
    <row r="502" spans="1:15" x14ac:dyDescent="0.35">
      <c r="A502" t="s">
        <v>1037</v>
      </c>
      <c r="B502" s="1" t="s">
        <v>1038</v>
      </c>
      <c r="C502" s="1" t="s">
        <v>329</v>
      </c>
      <c r="D502" s="1" t="s">
        <v>3</v>
      </c>
      <c r="E502" s="1" t="s">
        <v>41</v>
      </c>
      <c r="F502" s="1" t="s">
        <v>35</v>
      </c>
      <c r="G502" s="1" t="s">
        <v>841</v>
      </c>
      <c r="H502" s="1">
        <v>53</v>
      </c>
      <c r="I502" s="1" t="str">
        <f t="shared" si="7"/>
        <v>46-60</v>
      </c>
      <c r="J502" s="3">
        <v>38188</v>
      </c>
      <c r="K502" s="4">
        <v>65702</v>
      </c>
      <c r="L502" s="5">
        <v>0.09</v>
      </c>
      <c r="M502" s="1" t="s">
        <v>834</v>
      </c>
      <c r="N502" s="1" t="s">
        <v>855</v>
      </c>
      <c r="O502" s="6" t="s">
        <v>26</v>
      </c>
    </row>
    <row r="503" spans="1:15" x14ac:dyDescent="0.35">
      <c r="A503" t="s">
        <v>1039</v>
      </c>
      <c r="B503" s="1" t="s">
        <v>1040</v>
      </c>
      <c r="C503" s="1" t="s">
        <v>137</v>
      </c>
      <c r="D503" s="1" t="s">
        <v>3</v>
      </c>
      <c r="E503" s="1" t="s">
        <v>41</v>
      </c>
      <c r="F503" s="1" t="s">
        <v>35</v>
      </c>
      <c r="G503" s="1" t="s">
        <v>841</v>
      </c>
      <c r="H503" s="1">
        <v>53</v>
      </c>
      <c r="I503" s="1" t="str">
        <f t="shared" si="7"/>
        <v>46-60</v>
      </c>
      <c r="J503" s="3">
        <v>38214</v>
      </c>
      <c r="K503" s="4">
        <v>44735</v>
      </c>
      <c r="L503" s="5">
        <v>0.15</v>
      </c>
      <c r="M503" s="1" t="s">
        <v>842</v>
      </c>
      <c r="N503" s="1" t="s">
        <v>864</v>
      </c>
      <c r="O503" s="6" t="s">
        <v>26</v>
      </c>
    </row>
    <row r="504" spans="1:15" x14ac:dyDescent="0.35">
      <c r="A504" t="s">
        <v>1041</v>
      </c>
      <c r="B504" s="1" t="s">
        <v>1042</v>
      </c>
      <c r="C504" s="1" t="s">
        <v>102</v>
      </c>
      <c r="D504" s="1" t="s">
        <v>61</v>
      </c>
      <c r="E504" s="1" t="s">
        <v>41</v>
      </c>
      <c r="F504" s="1" t="s">
        <v>35</v>
      </c>
      <c r="G504" s="1" t="s">
        <v>841</v>
      </c>
      <c r="H504" s="1">
        <v>45</v>
      </c>
      <c r="I504" s="1" t="str">
        <f t="shared" si="7"/>
        <v>31-45</v>
      </c>
      <c r="J504" s="3">
        <v>38218</v>
      </c>
      <c r="K504" s="4">
        <v>121065</v>
      </c>
      <c r="L504" s="5">
        <v>0.11</v>
      </c>
      <c r="M504" s="1" t="s">
        <v>842</v>
      </c>
      <c r="N504" s="1" t="s">
        <v>871</v>
      </c>
      <c r="O504" s="6" t="s">
        <v>26</v>
      </c>
    </row>
    <row r="505" spans="1:15" x14ac:dyDescent="0.35">
      <c r="A505" t="s">
        <v>1043</v>
      </c>
      <c r="B505" s="1" t="s">
        <v>1044</v>
      </c>
      <c r="C505" s="1" t="s">
        <v>106</v>
      </c>
      <c r="D505" s="1" t="s">
        <v>56</v>
      </c>
      <c r="E505" s="1" t="s">
        <v>41</v>
      </c>
      <c r="F505" s="1" t="s">
        <v>22</v>
      </c>
      <c r="G505" s="1" t="s">
        <v>852</v>
      </c>
      <c r="H505" s="1">
        <v>41</v>
      </c>
      <c r="I505" s="1" t="str">
        <f t="shared" si="7"/>
        <v>31-45</v>
      </c>
      <c r="J505" s="3">
        <v>38219</v>
      </c>
      <c r="K505" s="4">
        <v>49186</v>
      </c>
      <c r="L505" s="5">
        <v>7.0000000000000007E-2</v>
      </c>
      <c r="M505" s="1" t="s">
        <v>834</v>
      </c>
      <c r="N505" s="1" t="s">
        <v>849</v>
      </c>
      <c r="O505" s="6">
        <v>39616</v>
      </c>
    </row>
    <row r="506" spans="1:15" x14ac:dyDescent="0.35">
      <c r="A506" t="s">
        <v>1045</v>
      </c>
      <c r="B506" s="1" t="s">
        <v>1046</v>
      </c>
      <c r="C506" s="1" t="s">
        <v>102</v>
      </c>
      <c r="D506" s="1" t="s">
        <v>3</v>
      </c>
      <c r="E506" s="1" t="s">
        <v>30</v>
      </c>
      <c r="F506" s="1" t="s">
        <v>22</v>
      </c>
      <c r="G506" s="1" t="s">
        <v>833</v>
      </c>
      <c r="H506" s="1">
        <v>46</v>
      </c>
      <c r="I506" s="1" t="str">
        <f t="shared" si="7"/>
        <v>46-60</v>
      </c>
      <c r="J506" s="3">
        <v>38244</v>
      </c>
      <c r="K506" s="4">
        <v>130274</v>
      </c>
      <c r="L506" s="5">
        <v>0.1</v>
      </c>
      <c r="M506" s="1" t="s">
        <v>834</v>
      </c>
      <c r="N506" s="1" t="s">
        <v>846</v>
      </c>
      <c r="O506" s="6" t="s">
        <v>26</v>
      </c>
    </row>
    <row r="507" spans="1:15" x14ac:dyDescent="0.35">
      <c r="A507" t="s">
        <v>1047</v>
      </c>
      <c r="B507" s="1" t="s">
        <v>1048</v>
      </c>
      <c r="C507" s="1" t="s">
        <v>342</v>
      </c>
      <c r="D507" s="1" t="s">
        <v>56</v>
      </c>
      <c r="E507" s="1" t="s">
        <v>30</v>
      </c>
      <c r="F507" s="1" t="s">
        <v>22</v>
      </c>
      <c r="G507" s="1" t="s">
        <v>833</v>
      </c>
      <c r="H507" s="1">
        <v>62</v>
      </c>
      <c r="I507" s="1" t="str">
        <f t="shared" si="7"/>
        <v>&gt;60</v>
      </c>
      <c r="J507" s="3">
        <v>38271</v>
      </c>
      <c r="K507" s="4">
        <v>50825</v>
      </c>
      <c r="L507" s="5">
        <v>0.09</v>
      </c>
      <c r="M507" s="1" t="s">
        <v>834</v>
      </c>
      <c r="N507" s="1" t="s">
        <v>934</v>
      </c>
      <c r="O507" s="6" t="s">
        <v>26</v>
      </c>
    </row>
    <row r="508" spans="1:15" x14ac:dyDescent="0.35">
      <c r="A508" t="s">
        <v>1049</v>
      </c>
      <c r="B508" s="1" t="s">
        <v>1050</v>
      </c>
      <c r="C508" s="1" t="s">
        <v>102</v>
      </c>
      <c r="D508" s="1" t="s">
        <v>56</v>
      </c>
      <c r="E508" s="1" t="s">
        <v>41</v>
      </c>
      <c r="F508" s="1" t="s">
        <v>35</v>
      </c>
      <c r="G508" s="1" t="s">
        <v>852</v>
      </c>
      <c r="H508" s="1">
        <v>55</v>
      </c>
      <c r="I508" s="1" t="str">
        <f t="shared" si="7"/>
        <v>46-60</v>
      </c>
      <c r="J508" s="3">
        <v>38301</v>
      </c>
      <c r="K508" s="4">
        <v>142318</v>
      </c>
      <c r="L508" s="5">
        <v>0.16</v>
      </c>
      <c r="M508" s="1" t="s">
        <v>834</v>
      </c>
      <c r="N508" s="1" t="s">
        <v>846</v>
      </c>
      <c r="O508" s="6" t="s">
        <v>26</v>
      </c>
    </row>
    <row r="509" spans="1:15" x14ac:dyDescent="0.35">
      <c r="A509" t="s">
        <v>1051</v>
      </c>
      <c r="B509" s="1" t="s">
        <v>1052</v>
      </c>
      <c r="C509" s="1" t="s">
        <v>2</v>
      </c>
      <c r="D509" s="1" t="s">
        <v>61</v>
      </c>
      <c r="E509" s="1" t="s">
        <v>30</v>
      </c>
      <c r="F509" s="1" t="s">
        <v>22</v>
      </c>
      <c r="G509" s="1" t="s">
        <v>833</v>
      </c>
      <c r="H509" s="1">
        <v>55</v>
      </c>
      <c r="I509" s="1" t="str">
        <f t="shared" si="7"/>
        <v>46-60</v>
      </c>
      <c r="J509" s="3">
        <v>38328</v>
      </c>
      <c r="K509" s="4">
        <v>40752</v>
      </c>
      <c r="L509" s="5">
        <v>0.14000000000000001</v>
      </c>
      <c r="M509" s="1" t="s">
        <v>834</v>
      </c>
      <c r="N509" s="1" t="s">
        <v>835</v>
      </c>
      <c r="O509" s="6" t="s">
        <v>26</v>
      </c>
    </row>
    <row r="510" spans="1:15" x14ac:dyDescent="0.35">
      <c r="A510" t="s">
        <v>1053</v>
      </c>
      <c r="B510" s="1" t="s">
        <v>1054</v>
      </c>
      <c r="C510" s="1" t="s">
        <v>45</v>
      </c>
      <c r="D510" s="1" t="s">
        <v>187</v>
      </c>
      <c r="E510" s="1" t="s">
        <v>21</v>
      </c>
      <c r="F510" s="1" t="s">
        <v>35</v>
      </c>
      <c r="G510" s="1" t="s">
        <v>841</v>
      </c>
      <c r="H510" s="1">
        <v>53</v>
      </c>
      <c r="I510" s="1" t="str">
        <f t="shared" si="7"/>
        <v>46-60</v>
      </c>
      <c r="J510" s="3">
        <v>38344</v>
      </c>
      <c r="K510" s="4">
        <v>90212</v>
      </c>
      <c r="L510" s="5">
        <v>0.05</v>
      </c>
      <c r="M510" s="1" t="s">
        <v>842</v>
      </c>
      <c r="N510" s="1" t="s">
        <v>843</v>
      </c>
      <c r="O510" s="6" t="s">
        <v>26</v>
      </c>
    </row>
    <row r="511" spans="1:15" x14ac:dyDescent="0.35">
      <c r="A511" t="s">
        <v>1055</v>
      </c>
      <c r="B511" s="1" t="s">
        <v>1056</v>
      </c>
      <c r="C511" s="1" t="s">
        <v>234</v>
      </c>
      <c r="D511" s="1" t="s">
        <v>20</v>
      </c>
      <c r="E511" s="1" t="s">
        <v>30</v>
      </c>
      <c r="F511" s="1" t="s">
        <v>35</v>
      </c>
      <c r="G511" s="1" t="s">
        <v>841</v>
      </c>
      <c r="H511" s="1">
        <v>56</v>
      </c>
      <c r="I511" s="1" t="str">
        <f t="shared" si="7"/>
        <v>46-60</v>
      </c>
      <c r="J511" s="3">
        <v>38388</v>
      </c>
      <c r="K511" s="4">
        <v>98581</v>
      </c>
      <c r="L511" s="5">
        <v>0.14000000000000001</v>
      </c>
      <c r="M511" s="1" t="s">
        <v>842</v>
      </c>
      <c r="N511" s="1" t="s">
        <v>871</v>
      </c>
      <c r="O511" s="6" t="s">
        <v>26</v>
      </c>
    </row>
    <row r="512" spans="1:15" x14ac:dyDescent="0.35">
      <c r="A512" t="s">
        <v>1057</v>
      </c>
      <c r="B512" s="1" t="s">
        <v>1058</v>
      </c>
      <c r="C512" s="1" t="s">
        <v>234</v>
      </c>
      <c r="D512" s="1" t="s">
        <v>20</v>
      </c>
      <c r="E512" s="1" t="s">
        <v>73</v>
      </c>
      <c r="F512" s="1" t="s">
        <v>22</v>
      </c>
      <c r="G512" s="1" t="s">
        <v>852</v>
      </c>
      <c r="H512" s="1">
        <v>45</v>
      </c>
      <c r="I512" s="1" t="str">
        <f t="shared" si="7"/>
        <v>31-45</v>
      </c>
      <c r="J512" s="3">
        <v>38388</v>
      </c>
      <c r="K512" s="4">
        <v>70505</v>
      </c>
      <c r="L512" s="5">
        <v>7.0000000000000007E-2</v>
      </c>
      <c r="M512" s="1" t="s">
        <v>834</v>
      </c>
      <c r="N512" s="1" t="s">
        <v>849</v>
      </c>
      <c r="O512" s="6" t="s">
        <v>26</v>
      </c>
    </row>
    <row r="513" spans="1:15" x14ac:dyDescent="0.35">
      <c r="A513" t="s">
        <v>1059</v>
      </c>
      <c r="B513" s="1" t="s">
        <v>1060</v>
      </c>
      <c r="C513" s="1" t="s">
        <v>329</v>
      </c>
      <c r="D513" s="1" t="s">
        <v>3</v>
      </c>
      <c r="E513" s="1" t="s">
        <v>73</v>
      </c>
      <c r="F513" s="1" t="s">
        <v>35</v>
      </c>
      <c r="G513" s="1" t="s">
        <v>833</v>
      </c>
      <c r="H513" s="1">
        <v>61</v>
      </c>
      <c r="I513" s="1" t="str">
        <f t="shared" si="7"/>
        <v>&gt;60</v>
      </c>
      <c r="J513" s="3">
        <v>38392</v>
      </c>
      <c r="K513" s="4">
        <v>64462</v>
      </c>
      <c r="L513" s="5">
        <v>0.13</v>
      </c>
      <c r="M513" s="1" t="s">
        <v>834</v>
      </c>
      <c r="N513" s="1" t="s">
        <v>846</v>
      </c>
      <c r="O513" s="6" t="s">
        <v>26</v>
      </c>
    </row>
    <row r="514" spans="1:15" x14ac:dyDescent="0.35">
      <c r="A514" t="s">
        <v>1061</v>
      </c>
      <c r="B514" s="1" t="s">
        <v>1062</v>
      </c>
      <c r="C514" s="1" t="s">
        <v>137</v>
      </c>
      <c r="D514" s="1" t="s">
        <v>3</v>
      </c>
      <c r="E514" s="1" t="s">
        <v>21</v>
      </c>
      <c r="F514" s="1" t="s">
        <v>35</v>
      </c>
      <c r="G514" s="1" t="s">
        <v>833</v>
      </c>
      <c r="H514" s="1">
        <v>52</v>
      </c>
      <c r="I514" s="1" t="str">
        <f t="shared" si="7"/>
        <v>46-60</v>
      </c>
      <c r="J514" s="3">
        <v>38406</v>
      </c>
      <c r="K514" s="4">
        <v>45286</v>
      </c>
      <c r="L514" s="5">
        <v>0.05</v>
      </c>
      <c r="M514" s="1" t="s">
        <v>834</v>
      </c>
      <c r="N514" s="1" t="s">
        <v>846</v>
      </c>
      <c r="O514" s="6" t="s">
        <v>26</v>
      </c>
    </row>
    <row r="515" spans="1:15" x14ac:dyDescent="0.35">
      <c r="A515" t="s">
        <v>1063</v>
      </c>
      <c r="B515" s="1" t="s">
        <v>1064</v>
      </c>
      <c r="C515" s="1" t="s">
        <v>55</v>
      </c>
      <c r="D515" s="1" t="s">
        <v>56</v>
      </c>
      <c r="E515" s="1" t="s">
        <v>41</v>
      </c>
      <c r="F515" s="1" t="s">
        <v>22</v>
      </c>
      <c r="G515" s="1" t="s">
        <v>841</v>
      </c>
      <c r="H515" s="1">
        <v>48</v>
      </c>
      <c r="I515" s="1" t="str">
        <f t="shared" ref="I515:I578" si="8">IF(H515&gt;=60,"&gt;60",IF(H515&gt;=46,"46-60",IF(H515&gt;=31,"31-45",IF(H515&gt;18,"18-30",""))))</f>
        <v>46-60</v>
      </c>
      <c r="J515" s="3">
        <v>38454</v>
      </c>
      <c r="K515" s="4">
        <v>87158</v>
      </c>
      <c r="L515" s="5">
        <v>0.09</v>
      </c>
      <c r="M515" s="1" t="s">
        <v>842</v>
      </c>
      <c r="N515" s="1" t="s">
        <v>864</v>
      </c>
      <c r="O515" s="6" t="s">
        <v>26</v>
      </c>
    </row>
    <row r="516" spans="1:15" x14ac:dyDescent="0.35">
      <c r="A516" t="s">
        <v>1065</v>
      </c>
      <c r="B516" s="1" t="s">
        <v>1066</v>
      </c>
      <c r="C516" s="1" t="s">
        <v>234</v>
      </c>
      <c r="D516" s="1" t="s">
        <v>20</v>
      </c>
      <c r="E516" s="1" t="s">
        <v>30</v>
      </c>
      <c r="F516" s="1" t="s">
        <v>22</v>
      </c>
      <c r="G516" s="1" t="s">
        <v>841</v>
      </c>
      <c r="H516" s="1">
        <v>46</v>
      </c>
      <c r="I516" s="1" t="str">
        <f t="shared" si="8"/>
        <v>46-60</v>
      </c>
      <c r="J516" s="3">
        <v>38464</v>
      </c>
      <c r="K516" s="4">
        <v>96639</v>
      </c>
      <c r="L516" s="5">
        <v>0.14000000000000001</v>
      </c>
      <c r="M516" s="1" t="s">
        <v>842</v>
      </c>
      <c r="N516" s="1" t="s">
        <v>871</v>
      </c>
      <c r="O516" s="6" t="s">
        <v>26</v>
      </c>
    </row>
    <row r="517" spans="1:15" x14ac:dyDescent="0.35">
      <c r="A517" t="s">
        <v>1067</v>
      </c>
      <c r="B517" s="1" t="s">
        <v>1068</v>
      </c>
      <c r="C517" s="1" t="s">
        <v>183</v>
      </c>
      <c r="D517" s="1" t="s">
        <v>3</v>
      </c>
      <c r="E517" s="1" t="s">
        <v>73</v>
      </c>
      <c r="F517" s="1" t="s">
        <v>22</v>
      </c>
      <c r="G517" s="1" t="s">
        <v>852</v>
      </c>
      <c r="H517" s="1">
        <v>46</v>
      </c>
      <c r="I517" s="1" t="str">
        <f t="shared" si="8"/>
        <v>46-60</v>
      </c>
      <c r="J517" s="3">
        <v>38513</v>
      </c>
      <c r="K517" s="4">
        <v>67374</v>
      </c>
      <c r="L517" s="5">
        <v>0.11</v>
      </c>
      <c r="M517" s="1" t="s">
        <v>834</v>
      </c>
      <c r="N517" s="1" t="s">
        <v>849</v>
      </c>
      <c r="O517" s="6" t="s">
        <v>26</v>
      </c>
    </row>
    <row r="518" spans="1:15" x14ac:dyDescent="0.35">
      <c r="A518" t="s">
        <v>1069</v>
      </c>
      <c r="B518" s="1" t="s">
        <v>1070</v>
      </c>
      <c r="C518" s="1" t="s">
        <v>446</v>
      </c>
      <c r="D518" s="1" t="s">
        <v>20</v>
      </c>
      <c r="E518" s="1" t="s">
        <v>41</v>
      </c>
      <c r="F518" s="1" t="s">
        <v>22</v>
      </c>
      <c r="G518" s="1" t="s">
        <v>852</v>
      </c>
      <c r="H518" s="1">
        <v>40</v>
      </c>
      <c r="I518" s="1" t="str">
        <f t="shared" si="8"/>
        <v>31-45</v>
      </c>
      <c r="J518" s="3">
        <v>38540</v>
      </c>
      <c r="K518" s="4">
        <v>74412</v>
      </c>
      <c r="L518" s="5">
        <v>7.0000000000000007E-2</v>
      </c>
      <c r="M518" s="1" t="s">
        <v>834</v>
      </c>
      <c r="N518" s="1" t="s">
        <v>934</v>
      </c>
      <c r="O518" s="6" t="s">
        <v>26</v>
      </c>
    </row>
    <row r="519" spans="1:15" x14ac:dyDescent="0.35">
      <c r="A519" t="s">
        <v>1071</v>
      </c>
      <c r="B519" s="1" t="s">
        <v>1072</v>
      </c>
      <c r="C519" s="1" t="s">
        <v>179</v>
      </c>
      <c r="D519" s="1" t="s">
        <v>3</v>
      </c>
      <c r="E519" s="1" t="s">
        <v>21</v>
      </c>
      <c r="F519" s="1" t="s">
        <v>22</v>
      </c>
      <c r="G519" s="1" t="s">
        <v>841</v>
      </c>
      <c r="H519" s="1">
        <v>48</v>
      </c>
      <c r="I519" s="1" t="str">
        <f t="shared" si="8"/>
        <v>46-60</v>
      </c>
      <c r="J519" s="3">
        <v>38560</v>
      </c>
      <c r="K519" s="4">
        <v>68987</v>
      </c>
      <c r="L519" s="5">
        <v>0.17</v>
      </c>
      <c r="M519" s="1" t="s">
        <v>834</v>
      </c>
      <c r="N519" s="1" t="s">
        <v>846</v>
      </c>
      <c r="O519" s="6">
        <v>38829</v>
      </c>
    </row>
    <row r="520" spans="1:15" x14ac:dyDescent="0.35">
      <c r="A520" t="s">
        <v>1073</v>
      </c>
      <c r="B520" s="1" t="s">
        <v>1074</v>
      </c>
      <c r="C520" s="1" t="s">
        <v>144</v>
      </c>
      <c r="D520" s="1" t="s">
        <v>61</v>
      </c>
      <c r="E520" s="1" t="s">
        <v>41</v>
      </c>
      <c r="F520" s="1" t="s">
        <v>22</v>
      </c>
      <c r="G520" s="1" t="s">
        <v>833</v>
      </c>
      <c r="H520" s="1">
        <v>65</v>
      </c>
      <c r="I520" s="1" t="str">
        <f t="shared" si="8"/>
        <v>&gt;60</v>
      </c>
      <c r="J520" s="3">
        <v>38584</v>
      </c>
      <c r="K520" s="4">
        <v>59833</v>
      </c>
      <c r="L520" s="5">
        <v>0.15</v>
      </c>
      <c r="M520" s="1" t="s">
        <v>834</v>
      </c>
      <c r="N520" s="1" t="s">
        <v>855</v>
      </c>
      <c r="O520" s="6" t="s">
        <v>26</v>
      </c>
    </row>
    <row r="521" spans="1:15" x14ac:dyDescent="0.35">
      <c r="A521" t="s">
        <v>1075</v>
      </c>
      <c r="B521" s="1" t="s">
        <v>1076</v>
      </c>
      <c r="C521" s="1" t="s">
        <v>144</v>
      </c>
      <c r="D521" s="1" t="s">
        <v>61</v>
      </c>
      <c r="E521" s="1" t="s">
        <v>41</v>
      </c>
      <c r="F521" s="1" t="s">
        <v>22</v>
      </c>
      <c r="G521" s="1" t="s">
        <v>833</v>
      </c>
      <c r="H521" s="1">
        <v>48</v>
      </c>
      <c r="I521" s="1" t="str">
        <f t="shared" si="8"/>
        <v>46-60</v>
      </c>
      <c r="J521" s="3">
        <v>38623</v>
      </c>
      <c r="K521" s="4">
        <v>74655</v>
      </c>
      <c r="L521" s="5">
        <v>0.1</v>
      </c>
      <c r="M521" s="1" t="s">
        <v>834</v>
      </c>
      <c r="N521" s="1" t="s">
        <v>849</v>
      </c>
      <c r="O521" s="6" t="s">
        <v>26</v>
      </c>
    </row>
    <row r="522" spans="1:15" x14ac:dyDescent="0.35">
      <c r="A522" t="s">
        <v>1077</v>
      </c>
      <c r="B522" s="1" t="s">
        <v>1078</v>
      </c>
      <c r="C522" s="1" t="s">
        <v>234</v>
      </c>
      <c r="D522" s="1" t="s">
        <v>20</v>
      </c>
      <c r="E522" s="1" t="s">
        <v>30</v>
      </c>
      <c r="F522" s="1" t="s">
        <v>35</v>
      </c>
      <c r="G522" s="1" t="s">
        <v>833</v>
      </c>
      <c r="H522" s="1">
        <v>41</v>
      </c>
      <c r="I522" s="1" t="str">
        <f t="shared" si="8"/>
        <v>31-45</v>
      </c>
      <c r="J522" s="3">
        <v>38632</v>
      </c>
      <c r="K522" s="4">
        <v>79352</v>
      </c>
      <c r="L522" s="5">
        <v>0.06</v>
      </c>
      <c r="M522" s="1" t="s">
        <v>834</v>
      </c>
      <c r="N522" s="1" t="s">
        <v>934</v>
      </c>
      <c r="O522" s="6" t="s">
        <v>26</v>
      </c>
    </row>
    <row r="523" spans="1:15" x14ac:dyDescent="0.35">
      <c r="A523" t="s">
        <v>1079</v>
      </c>
      <c r="B523" s="1" t="s">
        <v>1080</v>
      </c>
      <c r="C523" s="1" t="s">
        <v>106</v>
      </c>
      <c r="D523" s="1" t="s">
        <v>56</v>
      </c>
      <c r="E523" s="1" t="s">
        <v>41</v>
      </c>
      <c r="F523" s="1" t="s">
        <v>35</v>
      </c>
      <c r="G523" s="1" t="s">
        <v>841</v>
      </c>
      <c r="H523" s="1">
        <v>45</v>
      </c>
      <c r="I523" s="1" t="str">
        <f t="shared" si="8"/>
        <v>31-45</v>
      </c>
      <c r="J523" s="3">
        <v>38639</v>
      </c>
      <c r="K523" s="4">
        <v>51404</v>
      </c>
      <c r="L523" s="5">
        <v>0.15</v>
      </c>
      <c r="M523" s="1" t="s">
        <v>842</v>
      </c>
      <c r="N523" s="1" t="s">
        <v>864</v>
      </c>
      <c r="O523" s="6">
        <v>40153</v>
      </c>
    </row>
    <row r="524" spans="1:15" x14ac:dyDescent="0.35">
      <c r="A524" t="s">
        <v>1081</v>
      </c>
      <c r="B524" s="1" t="s">
        <v>1082</v>
      </c>
      <c r="C524" s="1" t="s">
        <v>60</v>
      </c>
      <c r="D524" s="1" t="s">
        <v>187</v>
      </c>
      <c r="E524" s="1" t="s">
        <v>41</v>
      </c>
      <c r="F524" s="1" t="s">
        <v>35</v>
      </c>
      <c r="G524" s="1" t="s">
        <v>841</v>
      </c>
      <c r="H524" s="1">
        <v>44</v>
      </c>
      <c r="I524" s="1" t="str">
        <f t="shared" si="8"/>
        <v>31-45</v>
      </c>
      <c r="J524" s="3">
        <v>38642</v>
      </c>
      <c r="K524" s="4">
        <v>105223</v>
      </c>
      <c r="L524" s="5">
        <v>0.16</v>
      </c>
      <c r="M524" s="1" t="s">
        <v>834</v>
      </c>
      <c r="N524" s="1" t="s">
        <v>835</v>
      </c>
      <c r="O524" s="6" t="s">
        <v>26</v>
      </c>
    </row>
    <row r="525" spans="1:15" x14ac:dyDescent="0.35">
      <c r="A525" t="s">
        <v>1083</v>
      </c>
      <c r="B525" s="1" t="s">
        <v>1084</v>
      </c>
      <c r="C525" s="1" t="s">
        <v>110</v>
      </c>
      <c r="D525" s="1" t="s">
        <v>3</v>
      </c>
      <c r="E525" s="1" t="s">
        <v>73</v>
      </c>
      <c r="F525" s="1" t="s">
        <v>22</v>
      </c>
      <c r="G525" s="1" t="s">
        <v>833</v>
      </c>
      <c r="H525" s="1">
        <v>52</v>
      </c>
      <c r="I525" s="1" t="str">
        <f t="shared" si="8"/>
        <v>46-60</v>
      </c>
      <c r="J525" s="3">
        <v>38664</v>
      </c>
      <c r="K525" s="4">
        <v>199808</v>
      </c>
      <c r="L525" s="5">
        <v>0.08</v>
      </c>
      <c r="M525" s="1" t="s">
        <v>834</v>
      </c>
      <c r="N525" s="1" t="s">
        <v>934</v>
      </c>
      <c r="O525" s="6" t="s">
        <v>26</v>
      </c>
    </row>
    <row r="526" spans="1:15" x14ac:dyDescent="0.35">
      <c r="A526" t="s">
        <v>1085</v>
      </c>
      <c r="B526" s="1" t="s">
        <v>1086</v>
      </c>
      <c r="C526" s="1" t="s">
        <v>144</v>
      </c>
      <c r="D526" s="1" t="s">
        <v>61</v>
      </c>
      <c r="E526" s="1" t="s">
        <v>41</v>
      </c>
      <c r="F526" s="1" t="s">
        <v>22</v>
      </c>
      <c r="G526" s="1" t="s">
        <v>841</v>
      </c>
      <c r="H526" s="1">
        <v>47</v>
      </c>
      <c r="I526" s="1" t="str">
        <f t="shared" si="8"/>
        <v>46-60</v>
      </c>
      <c r="J526" s="3">
        <v>38684</v>
      </c>
      <c r="K526" s="4">
        <v>62749</v>
      </c>
      <c r="L526" s="5">
        <v>0.05</v>
      </c>
      <c r="M526" s="1" t="s">
        <v>842</v>
      </c>
      <c r="N526" s="1" t="s">
        <v>864</v>
      </c>
      <c r="O526" s="6" t="s">
        <v>26</v>
      </c>
    </row>
    <row r="527" spans="1:15" x14ac:dyDescent="0.35">
      <c r="A527" t="s">
        <v>1087</v>
      </c>
      <c r="B527" s="1" t="s">
        <v>1088</v>
      </c>
      <c r="C527" s="1" t="s">
        <v>658</v>
      </c>
      <c r="D527" s="1" t="s">
        <v>20</v>
      </c>
      <c r="E527" s="1" t="s">
        <v>30</v>
      </c>
      <c r="F527" s="1" t="s">
        <v>35</v>
      </c>
      <c r="G527" s="1" t="s">
        <v>833</v>
      </c>
      <c r="H527" s="1">
        <v>52</v>
      </c>
      <c r="I527" s="1" t="str">
        <f t="shared" si="8"/>
        <v>46-60</v>
      </c>
      <c r="J527" s="3">
        <v>38696</v>
      </c>
      <c r="K527" s="4">
        <v>102043</v>
      </c>
      <c r="L527" s="5">
        <v>0.08</v>
      </c>
      <c r="M527" s="1" t="s">
        <v>834</v>
      </c>
      <c r="N527" s="1" t="s">
        <v>846</v>
      </c>
      <c r="O527" s="6" t="s">
        <v>26</v>
      </c>
    </row>
    <row r="528" spans="1:15" x14ac:dyDescent="0.35">
      <c r="A528" t="s">
        <v>1089</v>
      </c>
      <c r="B528" s="1" t="s">
        <v>1090</v>
      </c>
      <c r="C528" s="1" t="s">
        <v>60</v>
      </c>
      <c r="D528" s="1" t="s">
        <v>1</v>
      </c>
      <c r="E528" s="1" t="s">
        <v>73</v>
      </c>
      <c r="F528" s="1" t="s">
        <v>22</v>
      </c>
      <c r="G528" s="1" t="s">
        <v>833</v>
      </c>
      <c r="H528" s="1">
        <v>43</v>
      </c>
      <c r="I528" s="1" t="str">
        <f t="shared" si="8"/>
        <v>31-45</v>
      </c>
      <c r="J528" s="3">
        <v>38748</v>
      </c>
      <c r="K528" s="4">
        <v>117518</v>
      </c>
      <c r="L528" s="5">
        <v>0.05</v>
      </c>
      <c r="M528" s="1" t="s">
        <v>834</v>
      </c>
      <c r="N528" s="1" t="s">
        <v>934</v>
      </c>
      <c r="O528" s="6" t="s">
        <v>26</v>
      </c>
    </row>
    <row r="529" spans="1:15" x14ac:dyDescent="0.35">
      <c r="A529" t="s">
        <v>1091</v>
      </c>
      <c r="B529" s="1" t="s">
        <v>1092</v>
      </c>
      <c r="C529" s="1" t="s">
        <v>335</v>
      </c>
      <c r="D529" s="1" t="s">
        <v>3</v>
      </c>
      <c r="E529" s="1" t="s">
        <v>21</v>
      </c>
      <c r="F529" s="1" t="s">
        <v>35</v>
      </c>
      <c r="G529" s="1" t="s">
        <v>833</v>
      </c>
      <c r="H529" s="1">
        <v>42</v>
      </c>
      <c r="I529" s="1" t="str">
        <f t="shared" si="8"/>
        <v>31-45</v>
      </c>
      <c r="J529" s="3">
        <v>38777</v>
      </c>
      <c r="K529" s="4">
        <v>97433</v>
      </c>
      <c r="L529" s="5">
        <v>0.09</v>
      </c>
      <c r="M529" s="1" t="s">
        <v>834</v>
      </c>
      <c r="N529" s="1" t="s">
        <v>934</v>
      </c>
      <c r="O529" s="6">
        <v>42224</v>
      </c>
    </row>
    <row r="530" spans="1:15" x14ac:dyDescent="0.35">
      <c r="A530" t="s">
        <v>1093</v>
      </c>
      <c r="B530" s="1" t="s">
        <v>1094</v>
      </c>
      <c r="C530" s="1" t="s">
        <v>144</v>
      </c>
      <c r="D530" s="1" t="s">
        <v>80</v>
      </c>
      <c r="E530" s="1" t="s">
        <v>73</v>
      </c>
      <c r="F530" s="1" t="s">
        <v>35</v>
      </c>
      <c r="G530" s="1" t="s">
        <v>841</v>
      </c>
      <c r="H530" s="1">
        <v>39</v>
      </c>
      <c r="I530" s="1" t="str">
        <f t="shared" si="8"/>
        <v>31-45</v>
      </c>
      <c r="J530" s="3">
        <v>38813</v>
      </c>
      <c r="K530" s="4">
        <v>71531</v>
      </c>
      <c r="L530" s="5">
        <v>0.08</v>
      </c>
      <c r="M530" s="1" t="s">
        <v>834</v>
      </c>
      <c r="N530" s="1" t="s">
        <v>855</v>
      </c>
      <c r="O530" s="6" t="s">
        <v>26</v>
      </c>
    </row>
    <row r="531" spans="1:15" x14ac:dyDescent="0.35">
      <c r="A531" t="s">
        <v>1095</v>
      </c>
      <c r="B531" s="1" t="s">
        <v>1096</v>
      </c>
      <c r="C531" s="1" t="s">
        <v>144</v>
      </c>
      <c r="D531" s="1" t="s">
        <v>187</v>
      </c>
      <c r="E531" s="1" t="s">
        <v>21</v>
      </c>
      <c r="F531" s="1" t="s">
        <v>22</v>
      </c>
      <c r="G531" s="1" t="s">
        <v>841</v>
      </c>
      <c r="H531" s="1">
        <v>58</v>
      </c>
      <c r="I531" s="1" t="str">
        <f t="shared" si="8"/>
        <v>46-60</v>
      </c>
      <c r="J531" s="3">
        <v>38819</v>
      </c>
      <c r="K531" s="4">
        <v>64202</v>
      </c>
      <c r="L531" s="5">
        <v>0.09</v>
      </c>
      <c r="M531" s="1" t="s">
        <v>834</v>
      </c>
      <c r="N531" s="1" t="s">
        <v>855</v>
      </c>
      <c r="O531" s="6" t="s">
        <v>26</v>
      </c>
    </row>
    <row r="532" spans="1:15" x14ac:dyDescent="0.35">
      <c r="A532" t="s">
        <v>1097</v>
      </c>
      <c r="B532" s="1" t="s">
        <v>1098</v>
      </c>
      <c r="C532" s="1" t="s">
        <v>102</v>
      </c>
      <c r="D532" s="1" t="s">
        <v>80</v>
      </c>
      <c r="E532" s="1" t="s">
        <v>21</v>
      </c>
      <c r="F532" s="1" t="s">
        <v>35</v>
      </c>
      <c r="G532" s="1" t="s">
        <v>833</v>
      </c>
      <c r="H532" s="1">
        <v>51</v>
      </c>
      <c r="I532" s="1" t="str">
        <f t="shared" si="8"/>
        <v>46-60</v>
      </c>
      <c r="J532" s="3">
        <v>38835</v>
      </c>
      <c r="K532" s="4">
        <v>150758</v>
      </c>
      <c r="L532" s="5">
        <v>0.05</v>
      </c>
      <c r="M532" s="1" t="s">
        <v>834</v>
      </c>
      <c r="N532" s="1" t="s">
        <v>846</v>
      </c>
      <c r="O532" s="6">
        <v>39310</v>
      </c>
    </row>
    <row r="533" spans="1:15" x14ac:dyDescent="0.35">
      <c r="A533" t="s">
        <v>1099</v>
      </c>
      <c r="B533" s="1" t="s">
        <v>1100</v>
      </c>
      <c r="C533" s="1" t="s">
        <v>110</v>
      </c>
      <c r="D533" s="1" t="s">
        <v>3</v>
      </c>
      <c r="E533" s="1" t="s">
        <v>41</v>
      </c>
      <c r="F533" s="1" t="s">
        <v>22</v>
      </c>
      <c r="G533" s="1" t="s">
        <v>833</v>
      </c>
      <c r="H533" s="1">
        <v>56</v>
      </c>
      <c r="I533" s="1" t="str">
        <f t="shared" si="8"/>
        <v>46-60</v>
      </c>
      <c r="J533" s="3">
        <v>38866</v>
      </c>
      <c r="K533" s="4">
        <v>228822</v>
      </c>
      <c r="L533" s="5">
        <v>0.11</v>
      </c>
      <c r="M533" s="1" t="s">
        <v>834</v>
      </c>
      <c r="N533" s="1" t="s">
        <v>838</v>
      </c>
      <c r="O533" s="6" t="s">
        <v>26</v>
      </c>
    </row>
    <row r="534" spans="1:15" x14ac:dyDescent="0.35">
      <c r="A534" t="s">
        <v>1101</v>
      </c>
      <c r="B534" s="1" t="s">
        <v>1102</v>
      </c>
      <c r="C534" s="1" t="s">
        <v>29</v>
      </c>
      <c r="D534" s="1" t="s">
        <v>56</v>
      </c>
      <c r="E534" s="1" t="s">
        <v>30</v>
      </c>
      <c r="F534" s="1" t="s">
        <v>35</v>
      </c>
      <c r="G534" s="1" t="s">
        <v>841</v>
      </c>
      <c r="H534" s="1">
        <v>53</v>
      </c>
      <c r="I534" s="1" t="str">
        <f t="shared" si="8"/>
        <v>46-60</v>
      </c>
      <c r="J534" s="3">
        <v>38919</v>
      </c>
      <c r="K534" s="4">
        <v>151246</v>
      </c>
      <c r="L534" s="5">
        <v>0.06</v>
      </c>
      <c r="M534" s="1" t="s">
        <v>842</v>
      </c>
      <c r="N534" s="1" t="s">
        <v>843</v>
      </c>
      <c r="O534" s="6" t="s">
        <v>26</v>
      </c>
    </row>
    <row r="535" spans="1:15" x14ac:dyDescent="0.35">
      <c r="A535" t="s">
        <v>1103</v>
      </c>
      <c r="B535" s="1" t="s">
        <v>1104</v>
      </c>
      <c r="C535" s="1" t="s">
        <v>102</v>
      </c>
      <c r="D535" s="1" t="s">
        <v>3</v>
      </c>
      <c r="E535" s="1" t="s">
        <v>30</v>
      </c>
      <c r="F535" s="1" t="s">
        <v>35</v>
      </c>
      <c r="G535" s="1" t="s">
        <v>841</v>
      </c>
      <c r="H535" s="1">
        <v>55</v>
      </c>
      <c r="I535" s="1" t="str">
        <f t="shared" si="8"/>
        <v>46-60</v>
      </c>
      <c r="J535" s="3">
        <v>38945</v>
      </c>
      <c r="K535" s="4">
        <v>159044</v>
      </c>
      <c r="L535" s="5">
        <v>0.09</v>
      </c>
      <c r="M535" s="1" t="s">
        <v>842</v>
      </c>
      <c r="N535" s="1" t="s">
        <v>864</v>
      </c>
      <c r="O535" s="6" t="s">
        <v>26</v>
      </c>
    </row>
    <row r="536" spans="1:15" x14ac:dyDescent="0.35">
      <c r="A536" t="s">
        <v>1105</v>
      </c>
      <c r="B536" s="1" t="s">
        <v>1106</v>
      </c>
      <c r="C536" s="1" t="s">
        <v>60</v>
      </c>
      <c r="D536" s="1" t="s">
        <v>61</v>
      </c>
      <c r="E536" s="1" t="s">
        <v>41</v>
      </c>
      <c r="F536" s="1" t="s">
        <v>35</v>
      </c>
      <c r="G536" s="1" t="s">
        <v>841</v>
      </c>
      <c r="H536" s="1">
        <v>65</v>
      </c>
      <c r="I536" s="1" t="str">
        <f t="shared" si="8"/>
        <v>&gt;60</v>
      </c>
      <c r="J536" s="3">
        <v>38967</v>
      </c>
      <c r="K536" s="4">
        <v>127626</v>
      </c>
      <c r="L536" s="5">
        <v>0.06</v>
      </c>
      <c r="M536" s="1" t="s">
        <v>834</v>
      </c>
      <c r="N536" s="1" t="s">
        <v>838</v>
      </c>
      <c r="O536" s="6" t="s">
        <v>26</v>
      </c>
    </row>
    <row r="537" spans="1:15" x14ac:dyDescent="0.35">
      <c r="A537" t="s">
        <v>1107</v>
      </c>
      <c r="B537" s="1" t="s">
        <v>1108</v>
      </c>
      <c r="C537" s="1" t="s">
        <v>169</v>
      </c>
      <c r="D537" s="1" t="s">
        <v>3</v>
      </c>
      <c r="E537" s="1" t="s">
        <v>41</v>
      </c>
      <c r="F537" s="1" t="s">
        <v>22</v>
      </c>
      <c r="G537" s="1" t="s">
        <v>852</v>
      </c>
      <c r="H537" s="1">
        <v>42</v>
      </c>
      <c r="I537" s="1" t="str">
        <f t="shared" si="8"/>
        <v>31-45</v>
      </c>
      <c r="J537" s="3">
        <v>38984</v>
      </c>
      <c r="K537" s="4">
        <v>52733</v>
      </c>
      <c r="L537" s="5">
        <v>0.17</v>
      </c>
      <c r="M537" s="1" t="s">
        <v>834</v>
      </c>
      <c r="N537" s="1" t="s">
        <v>846</v>
      </c>
      <c r="O537" s="6" t="s">
        <v>26</v>
      </c>
    </row>
    <row r="538" spans="1:15" x14ac:dyDescent="0.35">
      <c r="A538" t="s">
        <v>1109</v>
      </c>
      <c r="B538" s="1" t="s">
        <v>1110</v>
      </c>
      <c r="C538" s="1" t="s">
        <v>469</v>
      </c>
      <c r="D538" s="1" t="s">
        <v>3</v>
      </c>
      <c r="E538" s="1" t="s">
        <v>21</v>
      </c>
      <c r="F538" s="1" t="s">
        <v>22</v>
      </c>
      <c r="G538" s="1" t="s">
        <v>833</v>
      </c>
      <c r="H538" s="1">
        <v>48</v>
      </c>
      <c r="I538" s="1" t="str">
        <f t="shared" si="8"/>
        <v>46-60</v>
      </c>
      <c r="J538" s="3">
        <v>38987</v>
      </c>
      <c r="K538" s="4">
        <v>76505</v>
      </c>
      <c r="L538" s="5">
        <v>0.05</v>
      </c>
      <c r="M538" s="1" t="s">
        <v>834</v>
      </c>
      <c r="N538" s="1" t="s">
        <v>934</v>
      </c>
      <c r="O538" s="6">
        <v>39180</v>
      </c>
    </row>
    <row r="539" spans="1:15" x14ac:dyDescent="0.35">
      <c r="A539" t="s">
        <v>1111</v>
      </c>
      <c r="B539" s="1" t="s">
        <v>1112</v>
      </c>
      <c r="C539" s="1" t="s">
        <v>102</v>
      </c>
      <c r="D539" s="1" t="s">
        <v>1</v>
      </c>
      <c r="E539" s="1" t="s">
        <v>30</v>
      </c>
      <c r="F539" s="1" t="s">
        <v>35</v>
      </c>
      <c r="G539" s="1" t="s">
        <v>841</v>
      </c>
      <c r="H539" s="1">
        <v>52</v>
      </c>
      <c r="I539" s="1" t="str">
        <f t="shared" si="8"/>
        <v>46-60</v>
      </c>
      <c r="J539" s="3">
        <v>38995</v>
      </c>
      <c r="K539" s="4">
        <v>147966</v>
      </c>
      <c r="L539" s="5">
        <v>0.13</v>
      </c>
      <c r="M539" s="1" t="s">
        <v>842</v>
      </c>
      <c r="N539" s="1" t="s">
        <v>871</v>
      </c>
      <c r="O539" s="6">
        <v>43608</v>
      </c>
    </row>
    <row r="540" spans="1:15" x14ac:dyDescent="0.35">
      <c r="A540" t="s">
        <v>1113</v>
      </c>
      <c r="B540" s="1" t="s">
        <v>1114</v>
      </c>
      <c r="C540" s="1" t="s">
        <v>69</v>
      </c>
      <c r="D540" s="1" t="s">
        <v>20</v>
      </c>
      <c r="E540" s="1" t="s">
        <v>30</v>
      </c>
      <c r="F540" s="1" t="s">
        <v>35</v>
      </c>
      <c r="G540" s="1" t="s">
        <v>841</v>
      </c>
      <c r="H540" s="1">
        <v>62</v>
      </c>
      <c r="I540" s="1" t="str">
        <f t="shared" si="8"/>
        <v>&gt;60</v>
      </c>
      <c r="J540" s="3">
        <v>39002</v>
      </c>
      <c r="K540" s="4">
        <v>79785</v>
      </c>
      <c r="L540" s="5">
        <v>0.11</v>
      </c>
      <c r="M540" s="1" t="s">
        <v>834</v>
      </c>
      <c r="N540" s="1" t="s">
        <v>849</v>
      </c>
      <c r="O540" s="6" t="s">
        <v>26</v>
      </c>
    </row>
    <row r="541" spans="1:15" x14ac:dyDescent="0.35">
      <c r="A541" t="s">
        <v>1115</v>
      </c>
      <c r="B541" s="1" t="s">
        <v>1116</v>
      </c>
      <c r="C541" s="1" t="s">
        <v>29</v>
      </c>
      <c r="D541" s="1" t="s">
        <v>80</v>
      </c>
      <c r="E541" s="1" t="s">
        <v>73</v>
      </c>
      <c r="F541" s="1" t="s">
        <v>35</v>
      </c>
      <c r="G541" s="1" t="s">
        <v>833</v>
      </c>
      <c r="H541" s="1">
        <v>50</v>
      </c>
      <c r="I541" s="1" t="str">
        <f t="shared" si="8"/>
        <v>46-60</v>
      </c>
      <c r="J541" s="3">
        <v>39016</v>
      </c>
      <c r="K541" s="4">
        <v>163099</v>
      </c>
      <c r="L541" s="5">
        <v>0.08</v>
      </c>
      <c r="M541" s="1" t="s">
        <v>834</v>
      </c>
      <c r="N541" s="1" t="s">
        <v>846</v>
      </c>
      <c r="O541" s="6" t="s">
        <v>26</v>
      </c>
    </row>
    <row r="542" spans="1:15" x14ac:dyDescent="0.35">
      <c r="A542" t="s">
        <v>1117</v>
      </c>
      <c r="B542" s="1" t="s">
        <v>1118</v>
      </c>
      <c r="C542" s="1" t="s">
        <v>29</v>
      </c>
      <c r="D542" s="1" t="s">
        <v>20</v>
      </c>
      <c r="E542" s="1" t="s">
        <v>41</v>
      </c>
      <c r="F542" s="1" t="s">
        <v>22</v>
      </c>
      <c r="G542" s="1" t="s">
        <v>833</v>
      </c>
      <c r="H542" s="1">
        <v>52</v>
      </c>
      <c r="I542" s="1" t="str">
        <f t="shared" si="8"/>
        <v>46-60</v>
      </c>
      <c r="J542" s="3">
        <v>39018</v>
      </c>
      <c r="K542" s="4">
        <v>187992</v>
      </c>
      <c r="L542" s="5">
        <v>0.13</v>
      </c>
      <c r="M542" s="1" t="s">
        <v>834</v>
      </c>
      <c r="N542" s="1" t="s">
        <v>838</v>
      </c>
      <c r="O542" s="6" t="s">
        <v>26</v>
      </c>
    </row>
    <row r="543" spans="1:15" x14ac:dyDescent="0.35">
      <c r="A543" t="s">
        <v>1119</v>
      </c>
      <c r="B543" s="1" t="s">
        <v>1120</v>
      </c>
      <c r="C543" s="1" t="s">
        <v>60</v>
      </c>
      <c r="D543" s="1" t="s">
        <v>3</v>
      </c>
      <c r="E543" s="1" t="s">
        <v>73</v>
      </c>
      <c r="F543" s="1" t="s">
        <v>22</v>
      </c>
      <c r="G543" s="1" t="s">
        <v>841</v>
      </c>
      <c r="H543" s="1">
        <v>53</v>
      </c>
      <c r="I543" s="1" t="str">
        <f t="shared" si="8"/>
        <v>46-60</v>
      </c>
      <c r="J543" s="3">
        <v>39021</v>
      </c>
      <c r="K543" s="4">
        <v>120128</v>
      </c>
      <c r="L543" s="5">
        <v>0.14000000000000001</v>
      </c>
      <c r="M543" s="1" t="s">
        <v>834</v>
      </c>
      <c r="N543" s="1" t="s">
        <v>849</v>
      </c>
      <c r="O543" s="6" t="s">
        <v>26</v>
      </c>
    </row>
    <row r="544" spans="1:15" x14ac:dyDescent="0.35">
      <c r="A544" t="s">
        <v>1121</v>
      </c>
      <c r="B544" s="1" t="s">
        <v>1122</v>
      </c>
      <c r="C544" s="1" t="s">
        <v>123</v>
      </c>
      <c r="D544" s="1" t="s">
        <v>3</v>
      </c>
      <c r="E544" s="1" t="s">
        <v>41</v>
      </c>
      <c r="F544" s="1" t="s">
        <v>35</v>
      </c>
      <c r="G544" s="1" t="s">
        <v>833</v>
      </c>
      <c r="H544" s="1">
        <v>44</v>
      </c>
      <c r="I544" s="1" t="str">
        <f t="shared" si="8"/>
        <v>31-45</v>
      </c>
      <c r="J544" s="3">
        <v>39064</v>
      </c>
      <c r="K544" s="4">
        <v>74738</v>
      </c>
      <c r="L544" s="5">
        <v>0.09</v>
      </c>
      <c r="M544" s="1" t="s">
        <v>834</v>
      </c>
      <c r="N544" s="1" t="s">
        <v>838</v>
      </c>
      <c r="O544" s="6" t="s">
        <v>26</v>
      </c>
    </row>
    <row r="545" spans="1:15" x14ac:dyDescent="0.35">
      <c r="A545" t="s">
        <v>1123</v>
      </c>
      <c r="B545" s="1" t="s">
        <v>1124</v>
      </c>
      <c r="C545" s="1" t="s">
        <v>144</v>
      </c>
      <c r="D545" s="1" t="s">
        <v>80</v>
      </c>
      <c r="E545" s="1" t="s">
        <v>41</v>
      </c>
      <c r="F545" s="1" t="s">
        <v>35</v>
      </c>
      <c r="G545" s="1" t="s">
        <v>833</v>
      </c>
      <c r="H545" s="1">
        <v>41</v>
      </c>
      <c r="I545" s="1" t="str">
        <f t="shared" si="8"/>
        <v>31-45</v>
      </c>
      <c r="J545" s="3">
        <v>39091</v>
      </c>
      <c r="K545" s="4">
        <v>50685</v>
      </c>
      <c r="L545" s="5">
        <v>0.14000000000000001</v>
      </c>
      <c r="M545" s="1" t="s">
        <v>834</v>
      </c>
      <c r="N545" s="1" t="s">
        <v>855</v>
      </c>
      <c r="O545" s="6" t="s">
        <v>26</v>
      </c>
    </row>
    <row r="546" spans="1:15" x14ac:dyDescent="0.35">
      <c r="A546" t="s">
        <v>1125</v>
      </c>
      <c r="B546" s="1" t="s">
        <v>1126</v>
      </c>
      <c r="C546" s="1" t="s">
        <v>55</v>
      </c>
      <c r="D546" s="1" t="s">
        <v>56</v>
      </c>
      <c r="E546" s="1" t="s">
        <v>30</v>
      </c>
      <c r="F546" s="1" t="s">
        <v>22</v>
      </c>
      <c r="G546" s="1" t="s">
        <v>833</v>
      </c>
      <c r="H546" s="1">
        <v>46</v>
      </c>
      <c r="I546" s="1" t="str">
        <f t="shared" si="8"/>
        <v>46-60</v>
      </c>
      <c r="J546" s="3">
        <v>39133</v>
      </c>
      <c r="K546" s="4">
        <v>75579</v>
      </c>
      <c r="L546" s="5">
        <v>0.08</v>
      </c>
      <c r="M546" s="1" t="s">
        <v>834</v>
      </c>
      <c r="N546" s="1" t="s">
        <v>934</v>
      </c>
      <c r="O546" s="6" t="s">
        <v>26</v>
      </c>
    </row>
    <row r="547" spans="1:15" x14ac:dyDescent="0.35">
      <c r="A547" t="s">
        <v>1127</v>
      </c>
      <c r="B547" s="1" t="s">
        <v>1128</v>
      </c>
      <c r="C547" s="1" t="s">
        <v>45</v>
      </c>
      <c r="D547" s="1" t="s">
        <v>80</v>
      </c>
      <c r="E547" s="1" t="s">
        <v>41</v>
      </c>
      <c r="F547" s="1" t="s">
        <v>35</v>
      </c>
      <c r="G547" s="1" t="s">
        <v>841</v>
      </c>
      <c r="H547" s="1">
        <v>60</v>
      </c>
      <c r="I547" s="1" t="str">
        <f t="shared" si="8"/>
        <v>&gt;60</v>
      </c>
      <c r="J547" s="3">
        <v>39137</v>
      </c>
      <c r="K547" s="4">
        <v>71699</v>
      </c>
      <c r="L547" s="5">
        <v>0.15</v>
      </c>
      <c r="M547" s="1" t="s">
        <v>842</v>
      </c>
      <c r="N547" s="1" t="s">
        <v>864</v>
      </c>
      <c r="O547" s="6" t="s">
        <v>26</v>
      </c>
    </row>
    <row r="548" spans="1:15" x14ac:dyDescent="0.35">
      <c r="A548" t="s">
        <v>1129</v>
      </c>
      <c r="B548" s="1" t="s">
        <v>1130</v>
      </c>
      <c r="C548" s="1" t="s">
        <v>29</v>
      </c>
      <c r="D548" s="1" t="s">
        <v>20</v>
      </c>
      <c r="E548" s="1" t="s">
        <v>73</v>
      </c>
      <c r="F548" s="1" t="s">
        <v>22</v>
      </c>
      <c r="G548" s="1" t="s">
        <v>833</v>
      </c>
      <c r="H548" s="1">
        <v>41</v>
      </c>
      <c r="I548" s="1" t="str">
        <f t="shared" si="8"/>
        <v>31-45</v>
      </c>
      <c r="J548" s="3">
        <v>39156</v>
      </c>
      <c r="K548" s="4">
        <v>155926</v>
      </c>
      <c r="L548" s="5">
        <v>0.08</v>
      </c>
      <c r="M548" s="1" t="s">
        <v>834</v>
      </c>
      <c r="N548" s="1" t="s">
        <v>855</v>
      </c>
      <c r="O548" s="6">
        <v>39598</v>
      </c>
    </row>
    <row r="549" spans="1:15" x14ac:dyDescent="0.35">
      <c r="A549" t="s">
        <v>1131</v>
      </c>
      <c r="B549" s="1" t="s">
        <v>1132</v>
      </c>
      <c r="C549" s="1" t="s">
        <v>144</v>
      </c>
      <c r="D549" s="1" t="s">
        <v>187</v>
      </c>
      <c r="E549" s="1" t="s">
        <v>73</v>
      </c>
      <c r="F549" s="1" t="s">
        <v>22</v>
      </c>
      <c r="G549" s="1" t="s">
        <v>833</v>
      </c>
      <c r="H549" s="1">
        <v>55</v>
      </c>
      <c r="I549" s="1" t="str">
        <f t="shared" si="8"/>
        <v>46-60</v>
      </c>
      <c r="J549" s="3">
        <v>39177</v>
      </c>
      <c r="K549" s="4">
        <v>52310</v>
      </c>
      <c r="L549" s="5">
        <v>0.17</v>
      </c>
      <c r="M549" s="1" t="s">
        <v>834</v>
      </c>
      <c r="N549" s="1" t="s">
        <v>838</v>
      </c>
      <c r="O549" s="6">
        <v>43385</v>
      </c>
    </row>
    <row r="550" spans="1:15" x14ac:dyDescent="0.35">
      <c r="A550" t="s">
        <v>1133</v>
      </c>
      <c r="B550" s="1" t="s">
        <v>1134</v>
      </c>
      <c r="C550" s="1" t="s">
        <v>29</v>
      </c>
      <c r="D550" s="1" t="s">
        <v>20</v>
      </c>
      <c r="E550" s="1" t="s">
        <v>30</v>
      </c>
      <c r="F550" s="1" t="s">
        <v>22</v>
      </c>
      <c r="G550" s="1" t="s">
        <v>841</v>
      </c>
      <c r="H550" s="1">
        <v>45</v>
      </c>
      <c r="I550" s="1" t="str">
        <f t="shared" si="8"/>
        <v>31-45</v>
      </c>
      <c r="J550" s="3">
        <v>39185</v>
      </c>
      <c r="K550" s="4">
        <v>189680</v>
      </c>
      <c r="L550" s="5">
        <v>0.15</v>
      </c>
      <c r="M550" s="1" t="s">
        <v>842</v>
      </c>
      <c r="N550" s="1" t="s">
        <v>843</v>
      </c>
      <c r="O550" s="6" t="s">
        <v>26</v>
      </c>
    </row>
    <row r="551" spans="1:15" x14ac:dyDescent="0.35">
      <c r="A551" t="s">
        <v>1135</v>
      </c>
      <c r="B551" s="1" t="s">
        <v>1136</v>
      </c>
      <c r="C551" s="1" t="s">
        <v>60</v>
      </c>
      <c r="D551" s="1" t="s">
        <v>61</v>
      </c>
      <c r="E551" s="1" t="s">
        <v>41</v>
      </c>
      <c r="F551" s="1" t="s">
        <v>35</v>
      </c>
      <c r="G551" s="1" t="s">
        <v>833</v>
      </c>
      <c r="H551" s="1">
        <v>59</v>
      </c>
      <c r="I551" s="1" t="str">
        <f t="shared" si="8"/>
        <v>46-60</v>
      </c>
      <c r="J551" s="3">
        <v>39197</v>
      </c>
      <c r="K551" s="4">
        <v>129708</v>
      </c>
      <c r="L551" s="5">
        <v>0.12</v>
      </c>
      <c r="M551" s="1" t="s">
        <v>834</v>
      </c>
      <c r="N551" s="1" t="s">
        <v>838</v>
      </c>
      <c r="O551" s="6" t="s">
        <v>26</v>
      </c>
    </row>
    <row r="552" spans="1:15" x14ac:dyDescent="0.35">
      <c r="A552" t="s">
        <v>1137</v>
      </c>
      <c r="B552" s="1" t="s">
        <v>1138</v>
      </c>
      <c r="C552" s="1" t="s">
        <v>110</v>
      </c>
      <c r="D552" s="1" t="s">
        <v>187</v>
      </c>
      <c r="E552" s="1" t="s">
        <v>73</v>
      </c>
      <c r="F552" s="1" t="s">
        <v>35</v>
      </c>
      <c r="G552" s="1" t="s">
        <v>833</v>
      </c>
      <c r="H552" s="1">
        <v>48</v>
      </c>
      <c r="I552" s="1" t="str">
        <f t="shared" si="8"/>
        <v>46-60</v>
      </c>
      <c r="J552" s="3">
        <v>39197</v>
      </c>
      <c r="K552" s="4">
        <v>217783</v>
      </c>
      <c r="L552" s="5">
        <v>0.09</v>
      </c>
      <c r="M552" s="1" t="s">
        <v>834</v>
      </c>
      <c r="N552" s="1" t="s">
        <v>934</v>
      </c>
      <c r="O552" s="6" t="s">
        <v>26</v>
      </c>
    </row>
    <row r="553" spans="1:15" x14ac:dyDescent="0.35">
      <c r="A553" t="s">
        <v>1139</v>
      </c>
      <c r="B553" s="1" t="s">
        <v>1140</v>
      </c>
      <c r="C553" s="1" t="s">
        <v>29</v>
      </c>
      <c r="D553" s="1" t="s">
        <v>1</v>
      </c>
      <c r="E553" s="1" t="s">
        <v>73</v>
      </c>
      <c r="F553" s="1" t="s">
        <v>35</v>
      </c>
      <c r="G553" s="1" t="s">
        <v>833</v>
      </c>
      <c r="H553" s="1">
        <v>39</v>
      </c>
      <c r="I553" s="1" t="str">
        <f t="shared" si="8"/>
        <v>31-45</v>
      </c>
      <c r="J553" s="3">
        <v>39201</v>
      </c>
      <c r="K553" s="4">
        <v>171487</v>
      </c>
      <c r="L553" s="5">
        <v>0.13</v>
      </c>
      <c r="M553" s="1" t="s">
        <v>834</v>
      </c>
      <c r="N553" s="1" t="s">
        <v>835</v>
      </c>
      <c r="O553" s="6" t="s">
        <v>26</v>
      </c>
    </row>
    <row r="554" spans="1:15" x14ac:dyDescent="0.35">
      <c r="A554" t="s">
        <v>1141</v>
      </c>
      <c r="B554" s="1" t="s">
        <v>1142</v>
      </c>
      <c r="C554" s="1" t="s">
        <v>144</v>
      </c>
      <c r="D554" s="1" t="s">
        <v>1</v>
      </c>
      <c r="E554" s="1" t="s">
        <v>41</v>
      </c>
      <c r="F554" s="1" t="s">
        <v>22</v>
      </c>
      <c r="G554" s="1" t="s">
        <v>841</v>
      </c>
      <c r="H554" s="1">
        <v>39</v>
      </c>
      <c r="I554" s="1" t="str">
        <f t="shared" si="8"/>
        <v>31-45</v>
      </c>
      <c r="J554" s="3">
        <v>39229</v>
      </c>
      <c r="K554" s="4">
        <v>51234</v>
      </c>
      <c r="L554" s="5">
        <v>0.17</v>
      </c>
      <c r="M554" s="1" t="s">
        <v>834</v>
      </c>
      <c r="N554" s="1" t="s">
        <v>934</v>
      </c>
      <c r="O554" s="6" t="s">
        <v>26</v>
      </c>
    </row>
    <row r="555" spans="1:15" x14ac:dyDescent="0.35">
      <c r="A555" t="s">
        <v>1143</v>
      </c>
      <c r="B555" s="1" t="s">
        <v>1144</v>
      </c>
      <c r="C555" s="1" t="s">
        <v>2</v>
      </c>
      <c r="D555" s="1" t="s">
        <v>61</v>
      </c>
      <c r="E555" s="1" t="s">
        <v>30</v>
      </c>
      <c r="F555" s="1" t="s">
        <v>22</v>
      </c>
      <c r="G555" s="1" t="s">
        <v>841</v>
      </c>
      <c r="H555" s="1">
        <v>51</v>
      </c>
      <c r="I555" s="1" t="str">
        <f t="shared" si="8"/>
        <v>46-60</v>
      </c>
      <c r="J555" s="3">
        <v>39252</v>
      </c>
      <c r="K555" s="4">
        <v>45206</v>
      </c>
      <c r="L555" s="5">
        <v>0.16</v>
      </c>
      <c r="M555" s="1" t="s">
        <v>834</v>
      </c>
      <c r="N555" s="1" t="s">
        <v>855</v>
      </c>
      <c r="O555" s="6" t="s">
        <v>26</v>
      </c>
    </row>
    <row r="556" spans="1:15" x14ac:dyDescent="0.35">
      <c r="A556" t="s">
        <v>1145</v>
      </c>
      <c r="B556" s="1" t="s">
        <v>1146</v>
      </c>
      <c r="C556" s="1" t="s">
        <v>29</v>
      </c>
      <c r="D556" s="1" t="s">
        <v>61</v>
      </c>
      <c r="E556" s="1" t="s">
        <v>21</v>
      </c>
      <c r="F556" s="1" t="s">
        <v>22</v>
      </c>
      <c r="G556" s="1" t="s">
        <v>833</v>
      </c>
      <c r="H556" s="1">
        <v>48</v>
      </c>
      <c r="I556" s="1" t="str">
        <f t="shared" si="8"/>
        <v>46-60</v>
      </c>
      <c r="J556" s="3">
        <v>39302</v>
      </c>
      <c r="K556" s="4">
        <v>194723</v>
      </c>
      <c r="L556" s="5">
        <v>0.09</v>
      </c>
      <c r="M556" s="1" t="s">
        <v>834</v>
      </c>
      <c r="N556" s="1" t="s">
        <v>835</v>
      </c>
      <c r="O556" s="6" t="s">
        <v>26</v>
      </c>
    </row>
    <row r="557" spans="1:15" x14ac:dyDescent="0.35">
      <c r="A557" t="s">
        <v>1147</v>
      </c>
      <c r="B557" s="1" t="s">
        <v>1148</v>
      </c>
      <c r="C557" s="1" t="s">
        <v>102</v>
      </c>
      <c r="D557" s="1" t="s">
        <v>80</v>
      </c>
      <c r="E557" s="1" t="s">
        <v>30</v>
      </c>
      <c r="F557" s="1" t="s">
        <v>22</v>
      </c>
      <c r="G557" s="1" t="s">
        <v>841</v>
      </c>
      <c r="H557" s="1">
        <v>44</v>
      </c>
      <c r="I557" s="1" t="str">
        <f t="shared" si="8"/>
        <v>31-45</v>
      </c>
      <c r="J557" s="3">
        <v>39305</v>
      </c>
      <c r="K557" s="4">
        <v>126277</v>
      </c>
      <c r="L557" s="5">
        <v>0.12</v>
      </c>
      <c r="M557" s="1" t="s">
        <v>842</v>
      </c>
      <c r="N557" s="1" t="s">
        <v>864</v>
      </c>
      <c r="O557" s="6" t="s">
        <v>26</v>
      </c>
    </row>
    <row r="558" spans="1:15" x14ac:dyDescent="0.35">
      <c r="A558" t="s">
        <v>1149</v>
      </c>
      <c r="B558" s="1" t="s">
        <v>1150</v>
      </c>
      <c r="C558" s="1" t="s">
        <v>144</v>
      </c>
      <c r="D558" s="1" t="s">
        <v>80</v>
      </c>
      <c r="E558" s="1" t="s">
        <v>30</v>
      </c>
      <c r="F558" s="1" t="s">
        <v>22</v>
      </c>
      <c r="G558" s="1" t="s">
        <v>833</v>
      </c>
      <c r="H558" s="1">
        <v>60</v>
      </c>
      <c r="I558" s="1" t="str">
        <f t="shared" si="8"/>
        <v>&gt;60</v>
      </c>
      <c r="J558" s="3">
        <v>39310</v>
      </c>
      <c r="K558" s="4">
        <v>58671</v>
      </c>
      <c r="L558" s="5">
        <v>0.06</v>
      </c>
      <c r="M558" s="1" t="s">
        <v>834</v>
      </c>
      <c r="N558" s="1" t="s">
        <v>855</v>
      </c>
      <c r="O558" s="6" t="s">
        <v>26</v>
      </c>
    </row>
    <row r="559" spans="1:15" x14ac:dyDescent="0.35">
      <c r="A559" t="s">
        <v>1151</v>
      </c>
      <c r="B559" s="1" t="s">
        <v>1152</v>
      </c>
      <c r="C559" s="1" t="s">
        <v>110</v>
      </c>
      <c r="D559" s="1" t="s">
        <v>56</v>
      </c>
      <c r="E559" s="1" t="s">
        <v>30</v>
      </c>
      <c r="F559" s="1" t="s">
        <v>22</v>
      </c>
      <c r="G559" s="1" t="s">
        <v>841</v>
      </c>
      <c r="H559" s="1">
        <v>44</v>
      </c>
      <c r="I559" s="1" t="str">
        <f t="shared" si="8"/>
        <v>31-45</v>
      </c>
      <c r="J559" s="3">
        <v>39335</v>
      </c>
      <c r="K559" s="4">
        <v>181247</v>
      </c>
      <c r="L559" s="5">
        <v>0.17</v>
      </c>
      <c r="M559" s="1" t="s">
        <v>842</v>
      </c>
      <c r="N559" s="1" t="s">
        <v>843</v>
      </c>
      <c r="O559" s="6" t="s">
        <v>26</v>
      </c>
    </row>
    <row r="560" spans="1:15" x14ac:dyDescent="0.35">
      <c r="A560" t="s">
        <v>1153</v>
      </c>
      <c r="B560" s="1" t="s">
        <v>1154</v>
      </c>
      <c r="C560" s="1" t="s">
        <v>45</v>
      </c>
      <c r="D560" s="1" t="s">
        <v>1</v>
      </c>
      <c r="E560" s="1" t="s">
        <v>41</v>
      </c>
      <c r="F560" s="1" t="s">
        <v>35</v>
      </c>
      <c r="G560" s="1" t="s">
        <v>841</v>
      </c>
      <c r="H560" s="1">
        <v>57</v>
      </c>
      <c r="I560" s="1" t="str">
        <f t="shared" si="8"/>
        <v>46-60</v>
      </c>
      <c r="J560" s="3">
        <v>39357</v>
      </c>
      <c r="K560" s="4">
        <v>98150</v>
      </c>
      <c r="L560" s="5">
        <v>0.14000000000000001</v>
      </c>
      <c r="M560" s="1" t="s">
        <v>842</v>
      </c>
      <c r="N560" s="1" t="s">
        <v>871</v>
      </c>
      <c r="O560" s="6" t="s">
        <v>26</v>
      </c>
    </row>
    <row r="561" spans="1:15" x14ac:dyDescent="0.35">
      <c r="A561" t="s">
        <v>1155</v>
      </c>
      <c r="B561" s="1" t="s">
        <v>1156</v>
      </c>
      <c r="C561" s="1" t="s">
        <v>19</v>
      </c>
      <c r="D561" s="1" t="s">
        <v>20</v>
      </c>
      <c r="E561" s="1" t="s">
        <v>21</v>
      </c>
      <c r="F561" s="1" t="s">
        <v>22</v>
      </c>
      <c r="G561" s="1" t="s">
        <v>841</v>
      </c>
      <c r="H561" s="1">
        <v>54</v>
      </c>
      <c r="I561" s="1" t="str">
        <f t="shared" si="8"/>
        <v>46-60</v>
      </c>
      <c r="J561" s="3">
        <v>39382</v>
      </c>
      <c r="K561" s="4">
        <v>106313</v>
      </c>
      <c r="L561" s="5">
        <v>0.14000000000000001</v>
      </c>
      <c r="M561" s="1" t="s">
        <v>834</v>
      </c>
      <c r="N561" s="1" t="s">
        <v>846</v>
      </c>
      <c r="O561" s="6" t="s">
        <v>26</v>
      </c>
    </row>
    <row r="562" spans="1:15" x14ac:dyDescent="0.35">
      <c r="A562" t="s">
        <v>1157</v>
      </c>
      <c r="B562" s="1" t="s">
        <v>1158</v>
      </c>
      <c r="C562" s="1" t="s">
        <v>55</v>
      </c>
      <c r="D562" s="1" t="s">
        <v>56</v>
      </c>
      <c r="E562" s="1" t="s">
        <v>41</v>
      </c>
      <c r="F562" s="1" t="s">
        <v>35</v>
      </c>
      <c r="G562" s="1" t="s">
        <v>841</v>
      </c>
      <c r="H562" s="1">
        <v>45</v>
      </c>
      <c r="I562" s="1" t="str">
        <f t="shared" si="8"/>
        <v>31-45</v>
      </c>
      <c r="J562" s="3">
        <v>39437</v>
      </c>
      <c r="K562" s="4">
        <v>93840</v>
      </c>
      <c r="L562" s="5">
        <v>0.08</v>
      </c>
      <c r="M562" s="1" t="s">
        <v>842</v>
      </c>
      <c r="N562" s="1" t="s">
        <v>864</v>
      </c>
      <c r="O562" s="6" t="s">
        <v>26</v>
      </c>
    </row>
    <row r="563" spans="1:15" x14ac:dyDescent="0.35">
      <c r="A563" t="s">
        <v>1159</v>
      </c>
      <c r="B563" s="1" t="s">
        <v>1160</v>
      </c>
      <c r="C563" s="1" t="s">
        <v>658</v>
      </c>
      <c r="D563" s="1" t="s">
        <v>20</v>
      </c>
      <c r="E563" s="1" t="s">
        <v>21</v>
      </c>
      <c r="F563" s="1" t="s">
        <v>35</v>
      </c>
      <c r="G563" s="1" t="s">
        <v>833</v>
      </c>
      <c r="H563" s="1">
        <v>46</v>
      </c>
      <c r="I563" s="1" t="str">
        <f t="shared" si="8"/>
        <v>46-60</v>
      </c>
      <c r="J563" s="3">
        <v>39471</v>
      </c>
      <c r="K563" s="4">
        <v>91621</v>
      </c>
      <c r="L563" s="5">
        <v>0.05</v>
      </c>
      <c r="M563" s="1" t="s">
        <v>834</v>
      </c>
      <c r="N563" s="1" t="s">
        <v>846</v>
      </c>
      <c r="O563" s="6" t="s">
        <v>26</v>
      </c>
    </row>
    <row r="564" spans="1:15" x14ac:dyDescent="0.35">
      <c r="A564" t="s">
        <v>1161</v>
      </c>
      <c r="B564" s="1" t="s">
        <v>1162</v>
      </c>
      <c r="C564" s="1" t="s">
        <v>45</v>
      </c>
      <c r="D564" s="1" t="s">
        <v>1</v>
      </c>
      <c r="E564" s="1" t="s">
        <v>30</v>
      </c>
      <c r="F564" s="1" t="s">
        <v>35</v>
      </c>
      <c r="G564" s="1" t="s">
        <v>833</v>
      </c>
      <c r="H564" s="1">
        <v>38</v>
      </c>
      <c r="I564" s="1" t="str">
        <f t="shared" si="8"/>
        <v>31-45</v>
      </c>
      <c r="J564" s="3">
        <v>39474</v>
      </c>
      <c r="K564" s="4">
        <v>80024</v>
      </c>
      <c r="L564" s="5">
        <v>0.06</v>
      </c>
      <c r="M564" s="1" t="s">
        <v>834</v>
      </c>
      <c r="N564" s="1" t="s">
        <v>855</v>
      </c>
      <c r="O564" s="6" t="s">
        <v>26</v>
      </c>
    </row>
    <row r="565" spans="1:15" x14ac:dyDescent="0.35">
      <c r="A565" t="s">
        <v>1163</v>
      </c>
      <c r="B565" s="1" t="s">
        <v>1164</v>
      </c>
      <c r="C565" s="1" t="s">
        <v>34</v>
      </c>
      <c r="D565" s="1" t="s">
        <v>3</v>
      </c>
      <c r="E565" s="1" t="s">
        <v>30</v>
      </c>
      <c r="F565" s="1" t="s">
        <v>22</v>
      </c>
      <c r="G565" s="1" t="s">
        <v>833</v>
      </c>
      <c r="H565" s="1">
        <v>37</v>
      </c>
      <c r="I565" s="1" t="str">
        <f t="shared" si="8"/>
        <v>31-45</v>
      </c>
      <c r="J565" s="3">
        <v>39493</v>
      </c>
      <c r="K565" s="4">
        <v>71695</v>
      </c>
      <c r="L565" s="5">
        <v>0.17</v>
      </c>
      <c r="M565" s="1" t="s">
        <v>834</v>
      </c>
      <c r="N565" s="1" t="s">
        <v>835</v>
      </c>
      <c r="O565" s="6" t="s">
        <v>26</v>
      </c>
    </row>
    <row r="566" spans="1:15" x14ac:dyDescent="0.35">
      <c r="A566" t="s">
        <v>1165</v>
      </c>
      <c r="B566" s="1" t="s">
        <v>1166</v>
      </c>
      <c r="C566" s="1" t="s">
        <v>130</v>
      </c>
      <c r="D566" s="1" t="s">
        <v>20</v>
      </c>
      <c r="E566" s="1" t="s">
        <v>41</v>
      </c>
      <c r="F566" s="1" t="s">
        <v>22</v>
      </c>
      <c r="G566" s="1" t="s">
        <v>841</v>
      </c>
      <c r="H566" s="1">
        <v>40</v>
      </c>
      <c r="I566" s="1" t="str">
        <f t="shared" si="8"/>
        <v>31-45</v>
      </c>
      <c r="J566" s="3">
        <v>39506</v>
      </c>
      <c r="K566" s="4">
        <v>113987</v>
      </c>
      <c r="L566" s="5">
        <v>0.06</v>
      </c>
      <c r="M566" s="1" t="s">
        <v>842</v>
      </c>
      <c r="N566" s="1" t="s">
        <v>864</v>
      </c>
      <c r="O566" s="6" t="s">
        <v>26</v>
      </c>
    </row>
    <row r="567" spans="1:15" x14ac:dyDescent="0.35">
      <c r="A567" t="s">
        <v>1167</v>
      </c>
      <c r="B567" s="1" t="s">
        <v>1168</v>
      </c>
      <c r="C567" s="1" t="s">
        <v>29</v>
      </c>
      <c r="D567" s="1" t="s">
        <v>61</v>
      </c>
      <c r="E567" s="1" t="s">
        <v>41</v>
      </c>
      <c r="F567" s="1" t="s">
        <v>35</v>
      </c>
      <c r="G567" s="1" t="s">
        <v>852</v>
      </c>
      <c r="H567" s="1">
        <v>45</v>
      </c>
      <c r="I567" s="1" t="str">
        <f t="shared" si="8"/>
        <v>31-45</v>
      </c>
      <c r="J567" s="3">
        <v>39507</v>
      </c>
      <c r="K567" s="4">
        <v>150577</v>
      </c>
      <c r="L567" s="5">
        <v>0.09</v>
      </c>
      <c r="M567" s="1" t="s">
        <v>834</v>
      </c>
      <c r="N567" s="1" t="s">
        <v>838</v>
      </c>
      <c r="O567" s="6" t="s">
        <v>26</v>
      </c>
    </row>
    <row r="568" spans="1:15" x14ac:dyDescent="0.35">
      <c r="A568" t="s">
        <v>1169</v>
      </c>
      <c r="B568" s="1" t="s">
        <v>1170</v>
      </c>
      <c r="C568" s="1" t="s">
        <v>29</v>
      </c>
      <c r="D568" s="1" t="s">
        <v>20</v>
      </c>
      <c r="E568" s="1" t="s">
        <v>21</v>
      </c>
      <c r="F568" s="1" t="s">
        <v>35</v>
      </c>
      <c r="G568" s="1" t="s">
        <v>841</v>
      </c>
      <c r="H568" s="1">
        <v>37</v>
      </c>
      <c r="I568" s="1" t="str">
        <f t="shared" si="8"/>
        <v>31-45</v>
      </c>
      <c r="J568" s="3">
        <v>39528</v>
      </c>
      <c r="K568" s="4">
        <v>156277</v>
      </c>
      <c r="L568" s="5">
        <v>0.1</v>
      </c>
      <c r="M568" s="1" t="s">
        <v>842</v>
      </c>
      <c r="N568" s="1" t="s">
        <v>864</v>
      </c>
      <c r="O568" s="6" t="s">
        <v>26</v>
      </c>
    </row>
    <row r="569" spans="1:15" x14ac:dyDescent="0.35">
      <c r="A569" t="s">
        <v>1171</v>
      </c>
      <c r="B569" s="1" t="s">
        <v>1172</v>
      </c>
      <c r="C569" s="1" t="s">
        <v>40</v>
      </c>
      <c r="D569" s="1" t="s">
        <v>20</v>
      </c>
      <c r="E569" s="1" t="s">
        <v>73</v>
      </c>
      <c r="F569" s="1" t="s">
        <v>35</v>
      </c>
      <c r="G569" s="1" t="s">
        <v>841</v>
      </c>
      <c r="H569" s="1">
        <v>52</v>
      </c>
      <c r="I569" s="1" t="str">
        <f t="shared" si="8"/>
        <v>46-60</v>
      </c>
      <c r="J569" s="3">
        <v>39532</v>
      </c>
      <c r="K569" s="4">
        <v>97398</v>
      </c>
      <c r="L569" s="5">
        <v>0.17</v>
      </c>
      <c r="M569" s="1" t="s">
        <v>842</v>
      </c>
      <c r="N569" s="1" t="s">
        <v>864</v>
      </c>
      <c r="O569" s="6" t="s">
        <v>26</v>
      </c>
    </row>
    <row r="570" spans="1:15" x14ac:dyDescent="0.35">
      <c r="A570" t="s">
        <v>1173</v>
      </c>
      <c r="B570" s="1" t="s">
        <v>1174</v>
      </c>
      <c r="C570" s="1" t="s">
        <v>60</v>
      </c>
      <c r="D570" s="1" t="s">
        <v>61</v>
      </c>
      <c r="E570" s="1" t="s">
        <v>41</v>
      </c>
      <c r="F570" s="1" t="s">
        <v>22</v>
      </c>
      <c r="G570" s="1" t="s">
        <v>833</v>
      </c>
      <c r="H570" s="1">
        <v>38</v>
      </c>
      <c r="I570" s="1" t="str">
        <f t="shared" si="8"/>
        <v>31-45</v>
      </c>
      <c r="J570" s="3">
        <v>39544</v>
      </c>
      <c r="K570" s="4">
        <v>126856</v>
      </c>
      <c r="L570" s="5">
        <v>0.12</v>
      </c>
      <c r="M570" s="1" t="s">
        <v>834</v>
      </c>
      <c r="N570" s="1" t="s">
        <v>855</v>
      </c>
      <c r="O570" s="6" t="s">
        <v>26</v>
      </c>
    </row>
    <row r="571" spans="1:15" x14ac:dyDescent="0.35">
      <c r="A571" t="s">
        <v>1175</v>
      </c>
      <c r="B571" s="1" t="s">
        <v>1176</v>
      </c>
      <c r="C571" s="1" t="s">
        <v>34</v>
      </c>
      <c r="D571" s="1" t="s">
        <v>3</v>
      </c>
      <c r="E571" s="1" t="s">
        <v>21</v>
      </c>
      <c r="F571" s="1" t="s">
        <v>22</v>
      </c>
      <c r="G571" s="1" t="s">
        <v>841</v>
      </c>
      <c r="H571" s="1">
        <v>51</v>
      </c>
      <c r="I571" s="1" t="str">
        <f t="shared" si="8"/>
        <v>46-60</v>
      </c>
      <c r="J571" s="3">
        <v>39553</v>
      </c>
      <c r="K571" s="4">
        <v>86431</v>
      </c>
      <c r="L571" s="5">
        <v>0.12</v>
      </c>
      <c r="M571" s="1" t="s">
        <v>834</v>
      </c>
      <c r="N571" s="1" t="s">
        <v>855</v>
      </c>
      <c r="O571" s="6" t="s">
        <v>26</v>
      </c>
    </row>
    <row r="572" spans="1:15" x14ac:dyDescent="0.35">
      <c r="A572" t="s">
        <v>1177</v>
      </c>
      <c r="B572" s="1" t="s">
        <v>1178</v>
      </c>
      <c r="C572" s="1" t="s">
        <v>144</v>
      </c>
      <c r="D572" s="1" t="s">
        <v>61</v>
      </c>
      <c r="E572" s="1" t="s">
        <v>21</v>
      </c>
      <c r="F572" s="1" t="s">
        <v>22</v>
      </c>
      <c r="G572" s="1" t="s">
        <v>841</v>
      </c>
      <c r="H572" s="1">
        <v>61</v>
      </c>
      <c r="I572" s="1" t="str">
        <f t="shared" si="8"/>
        <v>&gt;60</v>
      </c>
      <c r="J572" s="3">
        <v>39568</v>
      </c>
      <c r="K572" s="4">
        <v>69352</v>
      </c>
      <c r="L572" s="5">
        <v>0.05</v>
      </c>
      <c r="M572" s="1" t="s">
        <v>842</v>
      </c>
      <c r="N572" s="1" t="s">
        <v>871</v>
      </c>
      <c r="O572" s="6" t="s">
        <v>26</v>
      </c>
    </row>
    <row r="573" spans="1:15" x14ac:dyDescent="0.35">
      <c r="A573" t="s">
        <v>1179</v>
      </c>
      <c r="B573" s="1" t="s">
        <v>1180</v>
      </c>
      <c r="C573" s="1" t="s">
        <v>45</v>
      </c>
      <c r="D573" s="1" t="s">
        <v>187</v>
      </c>
      <c r="E573" s="1" t="s">
        <v>41</v>
      </c>
      <c r="F573" s="1" t="s">
        <v>22</v>
      </c>
      <c r="G573" s="1" t="s">
        <v>841</v>
      </c>
      <c r="H573" s="1">
        <v>38</v>
      </c>
      <c r="I573" s="1" t="str">
        <f t="shared" si="8"/>
        <v>31-45</v>
      </c>
      <c r="J573" s="3">
        <v>39634</v>
      </c>
      <c r="K573" s="4">
        <v>78056</v>
      </c>
      <c r="L573" s="5">
        <v>0.15</v>
      </c>
      <c r="M573" s="1" t="s">
        <v>842</v>
      </c>
      <c r="N573" s="1" t="s">
        <v>843</v>
      </c>
      <c r="O573" s="6" t="s">
        <v>26</v>
      </c>
    </row>
    <row r="574" spans="1:15" x14ac:dyDescent="0.35">
      <c r="A574" t="s">
        <v>1181</v>
      </c>
      <c r="B574" s="1" t="s">
        <v>1182</v>
      </c>
      <c r="C574" s="1" t="s">
        <v>250</v>
      </c>
      <c r="D574" s="1" t="s">
        <v>3</v>
      </c>
      <c r="E574" s="1" t="s">
        <v>30</v>
      </c>
      <c r="F574" s="1" t="s">
        <v>22</v>
      </c>
      <c r="G574" s="1" t="s">
        <v>841</v>
      </c>
      <c r="H574" s="1">
        <v>48</v>
      </c>
      <c r="I574" s="1" t="str">
        <f t="shared" si="8"/>
        <v>46-60</v>
      </c>
      <c r="J574" s="3">
        <v>39635</v>
      </c>
      <c r="K574" s="4">
        <v>94815</v>
      </c>
      <c r="L574" s="5">
        <v>0.13</v>
      </c>
      <c r="M574" s="1" t="s">
        <v>834</v>
      </c>
      <c r="N574" s="1" t="s">
        <v>846</v>
      </c>
      <c r="O574" s="6" t="s">
        <v>26</v>
      </c>
    </row>
    <row r="575" spans="1:15" x14ac:dyDescent="0.35">
      <c r="A575" t="s">
        <v>1183</v>
      </c>
      <c r="B575" s="1" t="s">
        <v>1184</v>
      </c>
      <c r="C575" s="1" t="s">
        <v>144</v>
      </c>
      <c r="D575" s="1" t="s">
        <v>1</v>
      </c>
      <c r="E575" s="1" t="s">
        <v>21</v>
      </c>
      <c r="F575" s="1" t="s">
        <v>22</v>
      </c>
      <c r="G575" s="1" t="s">
        <v>833</v>
      </c>
      <c r="H575" s="1">
        <v>61</v>
      </c>
      <c r="I575" s="1" t="str">
        <f t="shared" si="8"/>
        <v>&gt;60</v>
      </c>
      <c r="J575" s="3">
        <v>39640</v>
      </c>
      <c r="K575" s="4">
        <v>66521</v>
      </c>
      <c r="L575" s="5">
        <v>0.13</v>
      </c>
      <c r="M575" s="1" t="s">
        <v>834</v>
      </c>
      <c r="N575" s="1" t="s">
        <v>934</v>
      </c>
      <c r="O575" s="6" t="s">
        <v>26</v>
      </c>
    </row>
    <row r="576" spans="1:15" x14ac:dyDescent="0.35">
      <c r="A576" t="s">
        <v>1185</v>
      </c>
      <c r="B576" s="1" t="s">
        <v>1186</v>
      </c>
      <c r="C576" s="1" t="s">
        <v>106</v>
      </c>
      <c r="D576" s="1" t="s">
        <v>56</v>
      </c>
      <c r="E576" s="1" t="s">
        <v>41</v>
      </c>
      <c r="F576" s="1" t="s">
        <v>35</v>
      </c>
      <c r="G576" s="1" t="s">
        <v>852</v>
      </c>
      <c r="H576" s="1">
        <v>46</v>
      </c>
      <c r="I576" s="1" t="str">
        <f t="shared" si="8"/>
        <v>46-60</v>
      </c>
      <c r="J576" s="3">
        <v>39681</v>
      </c>
      <c r="K576" s="4">
        <v>59067</v>
      </c>
      <c r="L576" s="5">
        <v>0.1</v>
      </c>
      <c r="M576" s="1" t="s">
        <v>834</v>
      </c>
      <c r="N576" s="1" t="s">
        <v>838</v>
      </c>
      <c r="O576" s="6" t="s">
        <v>26</v>
      </c>
    </row>
    <row r="577" spans="1:15" x14ac:dyDescent="0.35">
      <c r="A577" t="s">
        <v>1187</v>
      </c>
      <c r="B577" s="1" t="s">
        <v>1188</v>
      </c>
      <c r="C577" s="1" t="s">
        <v>69</v>
      </c>
      <c r="D577" s="1" t="s">
        <v>20</v>
      </c>
      <c r="E577" s="1" t="s">
        <v>30</v>
      </c>
      <c r="F577" s="1" t="s">
        <v>22</v>
      </c>
      <c r="G577" s="1" t="s">
        <v>841</v>
      </c>
      <c r="H577" s="1">
        <v>59</v>
      </c>
      <c r="I577" s="1" t="str">
        <f t="shared" si="8"/>
        <v>46-60</v>
      </c>
      <c r="J577" s="3">
        <v>39701</v>
      </c>
      <c r="K577" s="4">
        <v>96313</v>
      </c>
      <c r="L577" s="5">
        <v>0.05</v>
      </c>
      <c r="M577" s="1" t="s">
        <v>834</v>
      </c>
      <c r="N577" s="1" t="s">
        <v>849</v>
      </c>
      <c r="O577" s="6" t="s">
        <v>26</v>
      </c>
    </row>
    <row r="578" spans="1:15" x14ac:dyDescent="0.35">
      <c r="A578" t="s">
        <v>1189</v>
      </c>
      <c r="B578" s="1" t="s">
        <v>1190</v>
      </c>
      <c r="C578" s="1" t="s">
        <v>144</v>
      </c>
      <c r="D578" s="1" t="s">
        <v>80</v>
      </c>
      <c r="E578" s="1" t="s">
        <v>41</v>
      </c>
      <c r="F578" s="1" t="s">
        <v>22</v>
      </c>
      <c r="G578" s="1" t="s">
        <v>841</v>
      </c>
      <c r="H578" s="1">
        <v>39</v>
      </c>
      <c r="I578" s="1" t="str">
        <f t="shared" si="8"/>
        <v>31-45</v>
      </c>
      <c r="J578" s="3">
        <v>39708</v>
      </c>
      <c r="K578" s="4">
        <v>62861</v>
      </c>
      <c r="L578" s="5">
        <v>0.15</v>
      </c>
      <c r="M578" s="1" t="s">
        <v>834</v>
      </c>
      <c r="N578" s="1" t="s">
        <v>934</v>
      </c>
      <c r="O578" s="6" t="s">
        <v>26</v>
      </c>
    </row>
    <row r="579" spans="1:15" x14ac:dyDescent="0.35">
      <c r="A579" t="s">
        <v>1191</v>
      </c>
      <c r="B579" s="1" t="s">
        <v>1192</v>
      </c>
      <c r="C579" s="1" t="s">
        <v>29</v>
      </c>
      <c r="D579" s="1" t="s">
        <v>80</v>
      </c>
      <c r="E579" s="1" t="s">
        <v>21</v>
      </c>
      <c r="F579" s="1" t="s">
        <v>35</v>
      </c>
      <c r="G579" s="1" t="s">
        <v>841</v>
      </c>
      <c r="H579" s="1">
        <v>65</v>
      </c>
      <c r="I579" s="1" t="str">
        <f t="shared" ref="I579:I642" si="9">IF(H579&gt;=60,"&gt;60",IF(H579&gt;=46,"46-60",IF(H579&gt;=31,"31-45",IF(H579&gt;18,"18-30",""))))</f>
        <v>&gt;60</v>
      </c>
      <c r="J579" s="3">
        <v>39728</v>
      </c>
      <c r="K579" s="4">
        <v>170221</v>
      </c>
      <c r="L579" s="5">
        <v>7.0000000000000007E-2</v>
      </c>
      <c r="M579" s="1" t="s">
        <v>842</v>
      </c>
      <c r="N579" s="1" t="s">
        <v>864</v>
      </c>
      <c r="O579" s="6" t="s">
        <v>26</v>
      </c>
    </row>
    <row r="580" spans="1:15" x14ac:dyDescent="0.35">
      <c r="A580" t="s">
        <v>1193</v>
      </c>
      <c r="B580" s="1" t="s">
        <v>1194</v>
      </c>
      <c r="C580" s="1" t="s">
        <v>102</v>
      </c>
      <c r="D580" s="1" t="s">
        <v>56</v>
      </c>
      <c r="E580" s="1" t="s">
        <v>30</v>
      </c>
      <c r="F580" s="1" t="s">
        <v>35</v>
      </c>
      <c r="G580" s="1" t="s">
        <v>833</v>
      </c>
      <c r="H580" s="1">
        <v>60</v>
      </c>
      <c r="I580" s="1" t="str">
        <f t="shared" si="9"/>
        <v>&gt;60</v>
      </c>
      <c r="J580" s="3">
        <v>39739</v>
      </c>
      <c r="K580" s="4">
        <v>150855</v>
      </c>
      <c r="L580" s="5">
        <v>0.06</v>
      </c>
      <c r="M580" s="1" t="s">
        <v>834</v>
      </c>
      <c r="N580" s="1" t="s">
        <v>835</v>
      </c>
      <c r="O580" s="6" t="s">
        <v>26</v>
      </c>
    </row>
    <row r="581" spans="1:15" x14ac:dyDescent="0.35">
      <c r="A581" t="s">
        <v>1195</v>
      </c>
      <c r="B581" s="1" t="s">
        <v>1196</v>
      </c>
      <c r="C581" s="1" t="s">
        <v>102</v>
      </c>
      <c r="D581" s="1" t="s">
        <v>56</v>
      </c>
      <c r="E581" s="1" t="s">
        <v>73</v>
      </c>
      <c r="F581" s="1" t="s">
        <v>35</v>
      </c>
      <c r="G581" s="1" t="s">
        <v>833</v>
      </c>
      <c r="H581" s="1">
        <v>41</v>
      </c>
      <c r="I581" s="1" t="str">
        <f t="shared" si="9"/>
        <v>31-45</v>
      </c>
      <c r="J581" s="3">
        <v>39747</v>
      </c>
      <c r="K581" s="4">
        <v>131841</v>
      </c>
      <c r="L581" s="5">
        <v>7.0000000000000007E-2</v>
      </c>
      <c r="M581" s="1" t="s">
        <v>834</v>
      </c>
      <c r="N581" s="1" t="s">
        <v>855</v>
      </c>
      <c r="O581" s="6" t="s">
        <v>26</v>
      </c>
    </row>
    <row r="582" spans="1:15" x14ac:dyDescent="0.35">
      <c r="A582" t="s">
        <v>1197</v>
      </c>
      <c r="B582" s="1" t="s">
        <v>1198</v>
      </c>
      <c r="C582" s="1" t="s">
        <v>19</v>
      </c>
      <c r="D582" s="1" t="s">
        <v>20</v>
      </c>
      <c r="E582" s="1" t="s">
        <v>30</v>
      </c>
      <c r="F582" s="1" t="s">
        <v>35</v>
      </c>
      <c r="G582" s="1" t="s">
        <v>841</v>
      </c>
      <c r="H582" s="1">
        <v>44</v>
      </c>
      <c r="I582" s="1" t="str">
        <f t="shared" si="9"/>
        <v>31-45</v>
      </c>
      <c r="J582" s="3">
        <v>39800</v>
      </c>
      <c r="K582" s="4">
        <v>92753</v>
      </c>
      <c r="L582" s="5">
        <v>0.11</v>
      </c>
      <c r="M582" s="1" t="s">
        <v>834</v>
      </c>
      <c r="N582" s="1" t="s">
        <v>849</v>
      </c>
      <c r="O582" s="6">
        <v>44371</v>
      </c>
    </row>
    <row r="583" spans="1:15" x14ac:dyDescent="0.35">
      <c r="A583" t="s">
        <v>1199</v>
      </c>
      <c r="B583" s="1" t="s">
        <v>1200</v>
      </c>
      <c r="C583" s="1" t="s">
        <v>110</v>
      </c>
      <c r="D583" s="1" t="s">
        <v>80</v>
      </c>
      <c r="E583" s="1" t="s">
        <v>30</v>
      </c>
      <c r="F583" s="1" t="s">
        <v>22</v>
      </c>
      <c r="G583" s="1" t="s">
        <v>833</v>
      </c>
      <c r="H583" s="1">
        <v>36</v>
      </c>
      <c r="I583" s="1" t="str">
        <f t="shared" si="9"/>
        <v>31-45</v>
      </c>
      <c r="J583" s="3">
        <v>39830</v>
      </c>
      <c r="K583" s="4">
        <v>238236</v>
      </c>
      <c r="L583" s="5">
        <v>0.11</v>
      </c>
      <c r="M583" s="1" t="s">
        <v>834</v>
      </c>
      <c r="N583" s="1" t="s">
        <v>934</v>
      </c>
      <c r="O583" s="6" t="s">
        <v>26</v>
      </c>
    </row>
    <row r="584" spans="1:15" x14ac:dyDescent="0.35">
      <c r="A584" t="s">
        <v>1201</v>
      </c>
      <c r="B584" s="1" t="s">
        <v>1202</v>
      </c>
      <c r="C584" s="1" t="s">
        <v>102</v>
      </c>
      <c r="D584" s="1" t="s">
        <v>187</v>
      </c>
      <c r="E584" s="1" t="s">
        <v>30</v>
      </c>
      <c r="F584" s="1" t="s">
        <v>35</v>
      </c>
      <c r="G584" s="1" t="s">
        <v>833</v>
      </c>
      <c r="H584" s="1">
        <v>62</v>
      </c>
      <c r="I584" s="1" t="str">
        <f t="shared" si="9"/>
        <v>&gt;60</v>
      </c>
      <c r="J584" s="3">
        <v>39843</v>
      </c>
      <c r="K584" s="4">
        <v>150555</v>
      </c>
      <c r="L584" s="5">
        <v>7.0000000000000007E-2</v>
      </c>
      <c r="M584" s="1" t="s">
        <v>834</v>
      </c>
      <c r="N584" s="1" t="s">
        <v>835</v>
      </c>
      <c r="O584" s="6" t="s">
        <v>26</v>
      </c>
    </row>
    <row r="585" spans="1:15" x14ac:dyDescent="0.35">
      <c r="A585" t="s">
        <v>1203</v>
      </c>
      <c r="B585" s="1" t="s">
        <v>1204</v>
      </c>
      <c r="C585" s="1" t="s">
        <v>65</v>
      </c>
      <c r="D585" s="1" t="s">
        <v>3</v>
      </c>
      <c r="E585" s="1" t="s">
        <v>41</v>
      </c>
      <c r="F585" s="1" t="s">
        <v>35</v>
      </c>
      <c r="G585" s="1" t="s">
        <v>841</v>
      </c>
      <c r="H585" s="1">
        <v>43</v>
      </c>
      <c r="I585" s="1" t="str">
        <f t="shared" si="9"/>
        <v>31-45</v>
      </c>
      <c r="J585" s="3">
        <v>39885</v>
      </c>
      <c r="K585" s="4">
        <v>62335</v>
      </c>
      <c r="L585" s="5">
        <v>0.13</v>
      </c>
      <c r="M585" s="1" t="s">
        <v>842</v>
      </c>
      <c r="N585" s="1" t="s">
        <v>864</v>
      </c>
      <c r="O585" s="6" t="s">
        <v>26</v>
      </c>
    </row>
    <row r="586" spans="1:15" x14ac:dyDescent="0.35">
      <c r="A586" t="s">
        <v>1205</v>
      </c>
      <c r="B586" s="1" t="s">
        <v>1206</v>
      </c>
      <c r="C586" s="1" t="s">
        <v>329</v>
      </c>
      <c r="D586" s="1" t="s">
        <v>3</v>
      </c>
      <c r="E586" s="1" t="s">
        <v>21</v>
      </c>
      <c r="F586" s="1" t="s">
        <v>35</v>
      </c>
      <c r="G586" s="1" t="s">
        <v>833</v>
      </c>
      <c r="H586" s="1">
        <v>45</v>
      </c>
      <c r="I586" s="1" t="str">
        <f t="shared" si="9"/>
        <v>31-45</v>
      </c>
      <c r="J586" s="3">
        <v>39908</v>
      </c>
      <c r="K586" s="4">
        <v>64505</v>
      </c>
      <c r="L586" s="5">
        <v>0.11</v>
      </c>
      <c r="M586" s="1" t="s">
        <v>834</v>
      </c>
      <c r="N586" s="1" t="s">
        <v>838</v>
      </c>
      <c r="O586" s="6" t="s">
        <v>26</v>
      </c>
    </row>
    <row r="587" spans="1:15" x14ac:dyDescent="0.35">
      <c r="A587" t="s">
        <v>1207</v>
      </c>
      <c r="B587" s="1" t="s">
        <v>1208</v>
      </c>
      <c r="C587" s="1" t="s">
        <v>540</v>
      </c>
      <c r="D587" s="1" t="s">
        <v>20</v>
      </c>
      <c r="E587" s="1" t="s">
        <v>41</v>
      </c>
      <c r="F587" s="1" t="s">
        <v>22</v>
      </c>
      <c r="G587" s="1" t="s">
        <v>841</v>
      </c>
      <c r="H587" s="1">
        <v>36</v>
      </c>
      <c r="I587" s="1" t="str">
        <f t="shared" si="9"/>
        <v>31-45</v>
      </c>
      <c r="J587" s="3">
        <v>39912</v>
      </c>
      <c r="K587" s="4">
        <v>60055</v>
      </c>
      <c r="L587" s="5">
        <v>0.14000000000000001</v>
      </c>
      <c r="M587" s="1" t="s">
        <v>834</v>
      </c>
      <c r="N587" s="1" t="s">
        <v>934</v>
      </c>
      <c r="O587" s="6" t="s">
        <v>26</v>
      </c>
    </row>
    <row r="588" spans="1:15" x14ac:dyDescent="0.35">
      <c r="A588" t="s">
        <v>1209</v>
      </c>
      <c r="B588" s="1" t="s">
        <v>1210</v>
      </c>
      <c r="C588" s="1" t="s">
        <v>45</v>
      </c>
      <c r="D588" s="1" t="s">
        <v>1</v>
      </c>
      <c r="E588" s="1" t="s">
        <v>21</v>
      </c>
      <c r="F588" s="1" t="s">
        <v>22</v>
      </c>
      <c r="G588" s="1" t="s">
        <v>841</v>
      </c>
      <c r="H588" s="1">
        <v>58</v>
      </c>
      <c r="I588" s="1" t="str">
        <f t="shared" si="9"/>
        <v>46-60</v>
      </c>
      <c r="J588" s="3">
        <v>39930</v>
      </c>
      <c r="K588" s="4">
        <v>76802</v>
      </c>
      <c r="L588" s="5">
        <v>0.09</v>
      </c>
      <c r="M588" s="1" t="s">
        <v>842</v>
      </c>
      <c r="N588" s="1" t="s">
        <v>864</v>
      </c>
      <c r="O588" s="6" t="s">
        <v>26</v>
      </c>
    </row>
    <row r="589" spans="1:15" x14ac:dyDescent="0.35">
      <c r="A589" t="s">
        <v>1211</v>
      </c>
      <c r="B589" s="1" t="s">
        <v>1212</v>
      </c>
      <c r="C589" s="1" t="s">
        <v>65</v>
      </c>
      <c r="D589" s="1" t="s">
        <v>3</v>
      </c>
      <c r="E589" s="1" t="s">
        <v>30</v>
      </c>
      <c r="F589" s="1" t="s">
        <v>35</v>
      </c>
      <c r="G589" s="1" t="s">
        <v>841</v>
      </c>
      <c r="H589" s="1">
        <v>41</v>
      </c>
      <c r="I589" s="1" t="str">
        <f t="shared" si="9"/>
        <v>31-45</v>
      </c>
      <c r="J589" s="3">
        <v>39931</v>
      </c>
      <c r="K589" s="4">
        <v>69803</v>
      </c>
      <c r="L589" s="5">
        <v>0.15</v>
      </c>
      <c r="M589" s="1" t="s">
        <v>842</v>
      </c>
      <c r="N589" s="1" t="s">
        <v>864</v>
      </c>
      <c r="O589" s="6" t="s">
        <v>26</v>
      </c>
    </row>
    <row r="590" spans="1:15" x14ac:dyDescent="0.35">
      <c r="A590" t="s">
        <v>1213</v>
      </c>
      <c r="B590" s="1" t="s">
        <v>1214</v>
      </c>
      <c r="C590" s="1" t="s">
        <v>162</v>
      </c>
      <c r="D590" s="1" t="s">
        <v>1</v>
      </c>
      <c r="E590" s="1" t="s">
        <v>21</v>
      </c>
      <c r="F590" s="1" t="s">
        <v>35</v>
      </c>
      <c r="G590" s="1" t="s">
        <v>852</v>
      </c>
      <c r="H590" s="1">
        <v>40</v>
      </c>
      <c r="I590" s="1" t="str">
        <f t="shared" si="9"/>
        <v>31-45</v>
      </c>
      <c r="J590" s="3">
        <v>39960</v>
      </c>
      <c r="K590" s="4">
        <v>62411</v>
      </c>
      <c r="L590" s="5">
        <v>0.16</v>
      </c>
      <c r="M590" s="1" t="s">
        <v>834</v>
      </c>
      <c r="N590" s="1" t="s">
        <v>838</v>
      </c>
      <c r="O590" s="6">
        <v>44422</v>
      </c>
    </row>
    <row r="591" spans="1:15" x14ac:dyDescent="0.35">
      <c r="A591" t="s">
        <v>1215</v>
      </c>
      <c r="B591" s="1" t="s">
        <v>1216</v>
      </c>
      <c r="C591" s="1" t="s">
        <v>29</v>
      </c>
      <c r="D591" s="1" t="s">
        <v>187</v>
      </c>
      <c r="E591" s="1" t="s">
        <v>21</v>
      </c>
      <c r="F591" s="1" t="s">
        <v>35</v>
      </c>
      <c r="G591" s="1" t="s">
        <v>833</v>
      </c>
      <c r="H591" s="1">
        <v>42</v>
      </c>
      <c r="I591" s="1" t="str">
        <f t="shared" si="9"/>
        <v>31-45</v>
      </c>
      <c r="J591" s="3">
        <v>39968</v>
      </c>
      <c r="K591" s="4">
        <v>174099</v>
      </c>
      <c r="L591" s="5">
        <v>7.0000000000000007E-2</v>
      </c>
      <c r="M591" s="1" t="s">
        <v>834</v>
      </c>
      <c r="N591" s="1" t="s">
        <v>849</v>
      </c>
      <c r="O591" s="6" t="s">
        <v>26</v>
      </c>
    </row>
    <row r="592" spans="1:15" x14ac:dyDescent="0.35">
      <c r="A592" t="s">
        <v>1217</v>
      </c>
      <c r="B592" s="1" t="s">
        <v>1218</v>
      </c>
      <c r="C592" s="1" t="s">
        <v>540</v>
      </c>
      <c r="D592" s="1" t="s">
        <v>20</v>
      </c>
      <c r="E592" s="1" t="s">
        <v>73</v>
      </c>
      <c r="F592" s="1" t="s">
        <v>35</v>
      </c>
      <c r="G592" s="1" t="s">
        <v>841</v>
      </c>
      <c r="H592" s="1">
        <v>48</v>
      </c>
      <c r="I592" s="1" t="str">
        <f t="shared" si="9"/>
        <v>46-60</v>
      </c>
      <c r="J592" s="3">
        <v>39991</v>
      </c>
      <c r="K592" s="4">
        <v>82907</v>
      </c>
      <c r="L592" s="5">
        <v>0.16</v>
      </c>
      <c r="M592" s="1" t="s">
        <v>834</v>
      </c>
      <c r="N592" s="1" t="s">
        <v>934</v>
      </c>
      <c r="O592" s="6" t="s">
        <v>26</v>
      </c>
    </row>
    <row r="593" spans="1:15" x14ac:dyDescent="0.35">
      <c r="A593" t="s">
        <v>1219</v>
      </c>
      <c r="B593" s="1" t="s">
        <v>1220</v>
      </c>
      <c r="C593" s="1" t="s">
        <v>2</v>
      </c>
      <c r="D593" s="1" t="s">
        <v>80</v>
      </c>
      <c r="E593" s="1" t="s">
        <v>30</v>
      </c>
      <c r="F593" s="1" t="s">
        <v>35</v>
      </c>
      <c r="G593" s="1" t="s">
        <v>841</v>
      </c>
      <c r="H593" s="1">
        <v>36</v>
      </c>
      <c r="I593" s="1" t="str">
        <f t="shared" si="9"/>
        <v>31-45</v>
      </c>
      <c r="J593" s="3">
        <v>39994</v>
      </c>
      <c r="K593" s="4">
        <v>43363</v>
      </c>
      <c r="L593" s="5">
        <v>0.09</v>
      </c>
      <c r="M593" s="1" t="s">
        <v>834</v>
      </c>
      <c r="N593" s="1" t="s">
        <v>849</v>
      </c>
      <c r="O593" s="6" t="s">
        <v>26</v>
      </c>
    </row>
    <row r="594" spans="1:15" x14ac:dyDescent="0.35">
      <c r="A594" t="s">
        <v>1221</v>
      </c>
      <c r="B594" s="1" t="s">
        <v>1222</v>
      </c>
      <c r="C594" s="1" t="s">
        <v>110</v>
      </c>
      <c r="D594" s="1" t="s">
        <v>3</v>
      </c>
      <c r="E594" s="1" t="s">
        <v>73</v>
      </c>
      <c r="F594" s="1" t="s">
        <v>35</v>
      </c>
      <c r="G594" s="1" t="s">
        <v>841</v>
      </c>
      <c r="H594" s="1">
        <v>43</v>
      </c>
      <c r="I594" s="1" t="str">
        <f t="shared" si="9"/>
        <v>31-45</v>
      </c>
      <c r="J594" s="3">
        <v>40029</v>
      </c>
      <c r="K594" s="4">
        <v>208415</v>
      </c>
      <c r="L594" s="5">
        <v>0.13</v>
      </c>
      <c r="M594" s="1" t="s">
        <v>834</v>
      </c>
      <c r="N594" s="1" t="s">
        <v>934</v>
      </c>
      <c r="O594" s="6" t="s">
        <v>26</v>
      </c>
    </row>
    <row r="595" spans="1:15" x14ac:dyDescent="0.35">
      <c r="A595" t="s">
        <v>1223</v>
      </c>
      <c r="B595" s="1" t="s">
        <v>1224</v>
      </c>
      <c r="C595" s="1" t="s">
        <v>110</v>
      </c>
      <c r="D595" s="1" t="s">
        <v>3</v>
      </c>
      <c r="E595" s="1" t="s">
        <v>73</v>
      </c>
      <c r="F595" s="1" t="s">
        <v>22</v>
      </c>
      <c r="G595" s="1" t="s">
        <v>841</v>
      </c>
      <c r="H595" s="1">
        <v>54</v>
      </c>
      <c r="I595" s="1" t="str">
        <f t="shared" si="9"/>
        <v>46-60</v>
      </c>
      <c r="J595" s="3">
        <v>40040</v>
      </c>
      <c r="K595" s="4">
        <v>241083</v>
      </c>
      <c r="L595" s="5">
        <v>7.0000000000000007E-2</v>
      </c>
      <c r="M595" s="1" t="s">
        <v>834</v>
      </c>
      <c r="N595" s="1" t="s">
        <v>855</v>
      </c>
      <c r="O595" s="6" t="s">
        <v>26</v>
      </c>
    </row>
    <row r="596" spans="1:15" x14ac:dyDescent="0.35">
      <c r="A596" t="s">
        <v>1225</v>
      </c>
      <c r="B596" s="1" t="s">
        <v>1226</v>
      </c>
      <c r="C596" s="1" t="s">
        <v>106</v>
      </c>
      <c r="D596" s="1" t="s">
        <v>56</v>
      </c>
      <c r="E596" s="1" t="s">
        <v>21</v>
      </c>
      <c r="F596" s="1" t="s">
        <v>35</v>
      </c>
      <c r="G596" s="1" t="s">
        <v>833</v>
      </c>
      <c r="H596" s="1">
        <v>56</v>
      </c>
      <c r="I596" s="1" t="str">
        <f t="shared" si="9"/>
        <v>46-60</v>
      </c>
      <c r="J596" s="3">
        <v>40045</v>
      </c>
      <c r="K596" s="4">
        <v>52800</v>
      </c>
      <c r="L596" s="5">
        <v>0.17</v>
      </c>
      <c r="M596" s="1" t="s">
        <v>834</v>
      </c>
      <c r="N596" s="1" t="s">
        <v>835</v>
      </c>
      <c r="O596" s="6" t="s">
        <v>26</v>
      </c>
    </row>
    <row r="597" spans="1:15" x14ac:dyDescent="0.35">
      <c r="A597" t="s">
        <v>1227</v>
      </c>
      <c r="B597" s="1" t="s">
        <v>1228</v>
      </c>
      <c r="C597" s="1" t="s">
        <v>446</v>
      </c>
      <c r="D597" s="1" t="s">
        <v>20</v>
      </c>
      <c r="E597" s="1" t="s">
        <v>21</v>
      </c>
      <c r="F597" s="1" t="s">
        <v>35</v>
      </c>
      <c r="G597" s="1" t="s">
        <v>833</v>
      </c>
      <c r="H597" s="1">
        <v>44</v>
      </c>
      <c r="I597" s="1" t="str">
        <f t="shared" si="9"/>
        <v>31-45</v>
      </c>
      <c r="J597" s="3">
        <v>40060</v>
      </c>
      <c r="K597" s="4">
        <v>89695</v>
      </c>
      <c r="L597" s="5">
        <v>0.14000000000000001</v>
      </c>
      <c r="M597" s="1" t="s">
        <v>834</v>
      </c>
      <c r="N597" s="1" t="s">
        <v>849</v>
      </c>
      <c r="O597" s="6" t="s">
        <v>26</v>
      </c>
    </row>
    <row r="598" spans="1:15" x14ac:dyDescent="0.35">
      <c r="A598" t="s">
        <v>1229</v>
      </c>
      <c r="B598" s="1" t="s">
        <v>1230</v>
      </c>
      <c r="C598" s="1" t="s">
        <v>29</v>
      </c>
      <c r="D598" s="1" t="s">
        <v>3</v>
      </c>
      <c r="E598" s="1" t="s">
        <v>21</v>
      </c>
      <c r="F598" s="1" t="s">
        <v>35</v>
      </c>
      <c r="G598" s="1" t="s">
        <v>852</v>
      </c>
      <c r="H598" s="1">
        <v>37</v>
      </c>
      <c r="I598" s="1" t="str">
        <f t="shared" si="9"/>
        <v>31-45</v>
      </c>
      <c r="J598" s="3">
        <v>40076</v>
      </c>
      <c r="K598" s="4">
        <v>167199</v>
      </c>
      <c r="L598" s="5">
        <v>0.11</v>
      </c>
      <c r="M598" s="1" t="s">
        <v>834</v>
      </c>
      <c r="N598" s="1" t="s">
        <v>934</v>
      </c>
      <c r="O598" s="6" t="s">
        <v>26</v>
      </c>
    </row>
    <row r="599" spans="1:15" x14ac:dyDescent="0.35">
      <c r="A599" t="s">
        <v>1231</v>
      </c>
      <c r="B599" s="1" t="s">
        <v>1232</v>
      </c>
      <c r="C599" s="1" t="s">
        <v>102</v>
      </c>
      <c r="D599" s="1" t="s">
        <v>56</v>
      </c>
      <c r="E599" s="1" t="s">
        <v>30</v>
      </c>
      <c r="F599" s="1" t="s">
        <v>22</v>
      </c>
      <c r="G599" s="1" t="s">
        <v>841</v>
      </c>
      <c r="H599" s="1">
        <v>38</v>
      </c>
      <c r="I599" s="1" t="str">
        <f t="shared" si="9"/>
        <v>31-45</v>
      </c>
      <c r="J599" s="3">
        <v>40083</v>
      </c>
      <c r="K599" s="4">
        <v>127801</v>
      </c>
      <c r="L599" s="5">
        <v>0.15</v>
      </c>
      <c r="M599" s="1" t="s">
        <v>834</v>
      </c>
      <c r="N599" s="1" t="s">
        <v>835</v>
      </c>
      <c r="O599" s="6" t="s">
        <v>26</v>
      </c>
    </row>
    <row r="600" spans="1:15" x14ac:dyDescent="0.35">
      <c r="A600" t="s">
        <v>1233</v>
      </c>
      <c r="B600" s="1" t="s">
        <v>948</v>
      </c>
      <c r="C600" s="1" t="s">
        <v>342</v>
      </c>
      <c r="D600" s="1" t="s">
        <v>56</v>
      </c>
      <c r="E600" s="1" t="s">
        <v>73</v>
      </c>
      <c r="F600" s="1" t="s">
        <v>35</v>
      </c>
      <c r="G600" s="1" t="s">
        <v>833</v>
      </c>
      <c r="H600" s="1">
        <v>41</v>
      </c>
      <c r="I600" s="1" t="str">
        <f t="shared" si="9"/>
        <v>31-45</v>
      </c>
      <c r="J600" s="3">
        <v>40109</v>
      </c>
      <c r="K600" s="4">
        <v>54415</v>
      </c>
      <c r="L600" s="5">
        <v>7.0000000000000007E-2</v>
      </c>
      <c r="M600" s="1" t="s">
        <v>834</v>
      </c>
      <c r="N600" s="1" t="s">
        <v>934</v>
      </c>
      <c r="O600" s="6">
        <v>41661</v>
      </c>
    </row>
    <row r="601" spans="1:15" x14ac:dyDescent="0.35">
      <c r="A601" t="s">
        <v>1234</v>
      </c>
      <c r="B601" s="1" t="s">
        <v>1235</v>
      </c>
      <c r="C601" s="1" t="s">
        <v>19</v>
      </c>
      <c r="D601" s="1" t="s">
        <v>20</v>
      </c>
      <c r="E601" s="1" t="s">
        <v>21</v>
      </c>
      <c r="F601" s="1" t="s">
        <v>35</v>
      </c>
      <c r="G601" s="1" t="s">
        <v>833</v>
      </c>
      <c r="H601" s="1">
        <v>61</v>
      </c>
      <c r="I601" s="1" t="str">
        <f t="shared" si="9"/>
        <v>&gt;60</v>
      </c>
      <c r="J601" s="3">
        <v>40193</v>
      </c>
      <c r="K601" s="4">
        <v>98110</v>
      </c>
      <c r="L601" s="5">
        <v>0.06</v>
      </c>
      <c r="M601" s="1" t="s">
        <v>834</v>
      </c>
      <c r="N601" s="1" t="s">
        <v>846</v>
      </c>
      <c r="O601" s="6" t="s">
        <v>26</v>
      </c>
    </row>
    <row r="602" spans="1:15" x14ac:dyDescent="0.35">
      <c r="A602" t="s">
        <v>1236</v>
      </c>
      <c r="B602" s="1" t="s">
        <v>1237</v>
      </c>
      <c r="C602" s="1" t="s">
        <v>60</v>
      </c>
      <c r="D602" s="1" t="s">
        <v>56</v>
      </c>
      <c r="E602" s="1" t="s">
        <v>73</v>
      </c>
      <c r="F602" s="1" t="s">
        <v>35</v>
      </c>
      <c r="G602" s="1" t="s">
        <v>841</v>
      </c>
      <c r="H602" s="1">
        <v>55</v>
      </c>
      <c r="I602" s="1" t="str">
        <f t="shared" si="9"/>
        <v>46-60</v>
      </c>
      <c r="J602" s="3">
        <v>40233</v>
      </c>
      <c r="K602" s="4">
        <v>102839</v>
      </c>
      <c r="L602" s="5">
        <v>0.12</v>
      </c>
      <c r="M602" s="1" t="s">
        <v>834</v>
      </c>
      <c r="N602" s="1" t="s">
        <v>838</v>
      </c>
      <c r="O602" s="6" t="s">
        <v>26</v>
      </c>
    </row>
    <row r="603" spans="1:15" x14ac:dyDescent="0.35">
      <c r="A603" t="s">
        <v>1238</v>
      </c>
      <c r="B603" s="1" t="s">
        <v>1239</v>
      </c>
      <c r="C603" s="1" t="s">
        <v>34</v>
      </c>
      <c r="D603" s="1" t="s">
        <v>3</v>
      </c>
      <c r="E603" s="1" t="s">
        <v>73</v>
      </c>
      <c r="F603" s="1" t="s">
        <v>35</v>
      </c>
      <c r="G603" s="1" t="s">
        <v>833</v>
      </c>
      <c r="H603" s="1">
        <v>59</v>
      </c>
      <c r="I603" s="1" t="str">
        <f t="shared" si="9"/>
        <v>46-60</v>
      </c>
      <c r="J603" s="3">
        <v>40272</v>
      </c>
      <c r="K603" s="4">
        <v>76027</v>
      </c>
      <c r="L603" s="5">
        <v>0.11</v>
      </c>
      <c r="M603" s="1" t="s">
        <v>834</v>
      </c>
      <c r="N603" s="1" t="s">
        <v>934</v>
      </c>
      <c r="O603" s="6" t="s">
        <v>26</v>
      </c>
    </row>
    <row r="604" spans="1:15" x14ac:dyDescent="0.35">
      <c r="A604" t="s">
        <v>1240</v>
      </c>
      <c r="B604" s="1" t="s">
        <v>1241</v>
      </c>
      <c r="C604" s="1" t="s">
        <v>2</v>
      </c>
      <c r="D604" s="1" t="s">
        <v>187</v>
      </c>
      <c r="E604" s="1" t="s">
        <v>41</v>
      </c>
      <c r="F604" s="1" t="s">
        <v>22</v>
      </c>
      <c r="G604" s="1" t="s">
        <v>841</v>
      </c>
      <c r="H604" s="1">
        <v>58</v>
      </c>
      <c r="I604" s="1" t="str">
        <f t="shared" si="9"/>
        <v>46-60</v>
      </c>
      <c r="J604" s="3">
        <v>40287</v>
      </c>
      <c r="K604" s="4">
        <v>56350</v>
      </c>
      <c r="L604" s="5">
        <v>0.05</v>
      </c>
      <c r="M604" s="1" t="s">
        <v>842</v>
      </c>
      <c r="N604" s="1" t="s">
        <v>871</v>
      </c>
      <c r="O604" s="6" t="s">
        <v>26</v>
      </c>
    </row>
    <row r="605" spans="1:15" x14ac:dyDescent="0.35">
      <c r="A605" t="s">
        <v>1242</v>
      </c>
      <c r="B605" s="1" t="s">
        <v>1243</v>
      </c>
      <c r="C605" s="1" t="s">
        <v>536</v>
      </c>
      <c r="D605" s="1" t="s">
        <v>3</v>
      </c>
      <c r="E605" s="1" t="s">
        <v>73</v>
      </c>
      <c r="F605" s="1" t="s">
        <v>35</v>
      </c>
      <c r="G605" s="1" t="s">
        <v>841</v>
      </c>
      <c r="H605" s="1">
        <v>43</v>
      </c>
      <c r="I605" s="1" t="str">
        <f t="shared" si="9"/>
        <v>31-45</v>
      </c>
      <c r="J605" s="3">
        <v>40290</v>
      </c>
      <c r="K605" s="4">
        <v>76912</v>
      </c>
      <c r="L605" s="5">
        <v>0.15</v>
      </c>
      <c r="M605" s="1" t="s">
        <v>842</v>
      </c>
      <c r="N605" s="1" t="s">
        <v>843</v>
      </c>
      <c r="O605" s="6" t="s">
        <v>26</v>
      </c>
    </row>
    <row r="606" spans="1:15" x14ac:dyDescent="0.35">
      <c r="A606" t="s">
        <v>1244</v>
      </c>
      <c r="B606" s="1" t="s">
        <v>1245</v>
      </c>
      <c r="C606" s="1" t="s">
        <v>144</v>
      </c>
      <c r="D606" s="1" t="s">
        <v>1</v>
      </c>
      <c r="E606" s="1" t="s">
        <v>21</v>
      </c>
      <c r="F606" s="1" t="s">
        <v>22</v>
      </c>
      <c r="G606" s="1" t="s">
        <v>833</v>
      </c>
      <c r="H606" s="1">
        <v>37</v>
      </c>
      <c r="I606" s="1" t="str">
        <f t="shared" si="9"/>
        <v>31-45</v>
      </c>
      <c r="J606" s="3">
        <v>40291</v>
      </c>
      <c r="K606" s="4">
        <v>57531</v>
      </c>
      <c r="L606" s="5">
        <v>0.16</v>
      </c>
      <c r="M606" s="1" t="s">
        <v>834</v>
      </c>
      <c r="N606" s="1" t="s">
        <v>846</v>
      </c>
      <c r="O606" s="6" t="s">
        <v>26</v>
      </c>
    </row>
    <row r="607" spans="1:15" x14ac:dyDescent="0.35">
      <c r="A607" t="s">
        <v>1246</v>
      </c>
      <c r="B607" s="1" t="s">
        <v>1247</v>
      </c>
      <c r="C607" s="1" t="s">
        <v>60</v>
      </c>
      <c r="D607" s="1" t="s">
        <v>187</v>
      </c>
      <c r="E607" s="1" t="s">
        <v>73</v>
      </c>
      <c r="F607" s="1" t="s">
        <v>35</v>
      </c>
      <c r="G607" s="1" t="s">
        <v>841</v>
      </c>
      <c r="H607" s="1">
        <v>46</v>
      </c>
      <c r="I607" s="1" t="str">
        <f t="shared" si="9"/>
        <v>46-60</v>
      </c>
      <c r="J607" s="3">
        <v>40292</v>
      </c>
      <c r="K607" s="4">
        <v>102636</v>
      </c>
      <c r="L607" s="5">
        <v>0.05</v>
      </c>
      <c r="M607" s="1" t="s">
        <v>834</v>
      </c>
      <c r="N607" s="1" t="s">
        <v>934</v>
      </c>
      <c r="O607" s="6" t="s">
        <v>26</v>
      </c>
    </row>
    <row r="608" spans="1:15" x14ac:dyDescent="0.35">
      <c r="A608" t="s">
        <v>1248</v>
      </c>
      <c r="B608" s="1" t="s">
        <v>1249</v>
      </c>
      <c r="C608" s="1" t="s">
        <v>60</v>
      </c>
      <c r="D608" s="1" t="s">
        <v>80</v>
      </c>
      <c r="E608" s="1" t="s">
        <v>73</v>
      </c>
      <c r="F608" s="1" t="s">
        <v>35</v>
      </c>
      <c r="G608" s="1" t="s">
        <v>852</v>
      </c>
      <c r="H608" s="1">
        <v>61</v>
      </c>
      <c r="I608" s="1" t="str">
        <f t="shared" si="9"/>
        <v>&gt;60</v>
      </c>
      <c r="J608" s="3">
        <v>40293</v>
      </c>
      <c r="K608" s="4">
        <v>110302</v>
      </c>
      <c r="L608" s="5">
        <v>0.06</v>
      </c>
      <c r="M608" s="1" t="s">
        <v>834</v>
      </c>
      <c r="N608" s="1" t="s">
        <v>838</v>
      </c>
      <c r="O608" s="6" t="s">
        <v>26</v>
      </c>
    </row>
    <row r="609" spans="1:15" x14ac:dyDescent="0.35">
      <c r="A609" t="s">
        <v>1250</v>
      </c>
      <c r="B609" s="1" t="s">
        <v>1251</v>
      </c>
      <c r="C609" s="1" t="s">
        <v>60</v>
      </c>
      <c r="D609" s="1" t="s">
        <v>80</v>
      </c>
      <c r="E609" s="1" t="s">
        <v>73</v>
      </c>
      <c r="F609" s="1" t="s">
        <v>35</v>
      </c>
      <c r="G609" s="1" t="s">
        <v>841</v>
      </c>
      <c r="H609" s="1">
        <v>55</v>
      </c>
      <c r="I609" s="1" t="str">
        <f t="shared" si="9"/>
        <v>46-60</v>
      </c>
      <c r="J609" s="3">
        <v>40297</v>
      </c>
      <c r="K609" s="4">
        <v>111038</v>
      </c>
      <c r="L609" s="5">
        <v>0.17</v>
      </c>
      <c r="M609" s="1" t="s">
        <v>842</v>
      </c>
      <c r="N609" s="1" t="s">
        <v>843</v>
      </c>
      <c r="O609" s="6" t="s">
        <v>26</v>
      </c>
    </row>
    <row r="610" spans="1:15" x14ac:dyDescent="0.35">
      <c r="A610" t="s">
        <v>1252</v>
      </c>
      <c r="B610" s="1" t="s">
        <v>1253</v>
      </c>
      <c r="C610" s="1" t="s">
        <v>29</v>
      </c>
      <c r="D610" s="1" t="s">
        <v>56</v>
      </c>
      <c r="E610" s="1" t="s">
        <v>73</v>
      </c>
      <c r="F610" s="1" t="s">
        <v>35</v>
      </c>
      <c r="G610" s="1" t="s">
        <v>833</v>
      </c>
      <c r="H610" s="1">
        <v>41</v>
      </c>
      <c r="I610" s="1" t="str">
        <f t="shared" si="9"/>
        <v>31-45</v>
      </c>
      <c r="J610" s="3">
        <v>40319</v>
      </c>
      <c r="K610" s="4">
        <v>153275</v>
      </c>
      <c r="L610" s="5">
        <v>0.11</v>
      </c>
      <c r="M610" s="1" t="s">
        <v>834</v>
      </c>
      <c r="N610" s="1" t="s">
        <v>855</v>
      </c>
      <c r="O610" s="6" t="s">
        <v>26</v>
      </c>
    </row>
    <row r="611" spans="1:15" x14ac:dyDescent="0.35">
      <c r="A611" t="s">
        <v>1254</v>
      </c>
      <c r="B611" s="1" t="s">
        <v>1255</v>
      </c>
      <c r="C611" s="1" t="s">
        <v>60</v>
      </c>
      <c r="D611" s="1" t="s">
        <v>80</v>
      </c>
      <c r="E611" s="1" t="s">
        <v>73</v>
      </c>
      <c r="F611" s="1" t="s">
        <v>22</v>
      </c>
      <c r="G611" s="1" t="s">
        <v>833</v>
      </c>
      <c r="H611" s="1">
        <v>60</v>
      </c>
      <c r="I611" s="1" t="str">
        <f t="shared" si="9"/>
        <v>&gt;60</v>
      </c>
      <c r="J611" s="3">
        <v>40344</v>
      </c>
      <c r="K611" s="4">
        <v>106578</v>
      </c>
      <c r="L611" s="5">
        <v>0.13</v>
      </c>
      <c r="M611" s="1" t="s">
        <v>834</v>
      </c>
      <c r="N611" s="1" t="s">
        <v>838</v>
      </c>
      <c r="O611" s="6" t="s">
        <v>26</v>
      </c>
    </row>
    <row r="612" spans="1:15" x14ac:dyDescent="0.35">
      <c r="A612" t="s">
        <v>1256</v>
      </c>
      <c r="B612" s="1" t="s">
        <v>1257</v>
      </c>
      <c r="C612" s="1" t="s">
        <v>658</v>
      </c>
      <c r="D612" s="1" t="s">
        <v>20</v>
      </c>
      <c r="E612" s="1" t="s">
        <v>73</v>
      </c>
      <c r="F612" s="1" t="s">
        <v>22</v>
      </c>
      <c r="G612" s="1" t="s">
        <v>833</v>
      </c>
      <c r="H612" s="1">
        <v>38</v>
      </c>
      <c r="I612" s="1" t="str">
        <f t="shared" si="9"/>
        <v>31-45</v>
      </c>
      <c r="J612" s="3">
        <v>40360</v>
      </c>
      <c r="K612" s="4">
        <v>78237</v>
      </c>
      <c r="L612" s="5">
        <v>0.14000000000000001</v>
      </c>
      <c r="M612" s="1" t="s">
        <v>834</v>
      </c>
      <c r="N612" s="1" t="s">
        <v>835</v>
      </c>
      <c r="O612" s="6" t="s">
        <v>26</v>
      </c>
    </row>
    <row r="613" spans="1:15" x14ac:dyDescent="0.35">
      <c r="A613" t="s">
        <v>1258</v>
      </c>
      <c r="B613" s="1" t="s">
        <v>1259</v>
      </c>
      <c r="C613" s="1" t="s">
        <v>102</v>
      </c>
      <c r="D613" s="1" t="s">
        <v>80</v>
      </c>
      <c r="E613" s="1" t="s">
        <v>41</v>
      </c>
      <c r="F613" s="1" t="s">
        <v>22</v>
      </c>
      <c r="G613" s="1" t="s">
        <v>841</v>
      </c>
      <c r="H613" s="1">
        <v>46</v>
      </c>
      <c r="I613" s="1" t="str">
        <f t="shared" si="9"/>
        <v>46-60</v>
      </c>
      <c r="J613" s="3">
        <v>40378</v>
      </c>
      <c r="K613" s="4">
        <v>134881</v>
      </c>
      <c r="L613" s="5">
        <v>7.0000000000000007E-2</v>
      </c>
      <c r="M613" s="1" t="s">
        <v>842</v>
      </c>
      <c r="N613" s="1" t="s">
        <v>864</v>
      </c>
      <c r="O613" s="6" t="s">
        <v>26</v>
      </c>
    </row>
    <row r="614" spans="1:15" x14ac:dyDescent="0.35">
      <c r="A614" t="s">
        <v>1260</v>
      </c>
      <c r="B614" s="1" t="s">
        <v>1261</v>
      </c>
      <c r="C614" s="1" t="s">
        <v>102</v>
      </c>
      <c r="D614" s="1" t="s">
        <v>187</v>
      </c>
      <c r="E614" s="1" t="s">
        <v>73</v>
      </c>
      <c r="F614" s="1" t="s">
        <v>35</v>
      </c>
      <c r="G614" s="1" t="s">
        <v>833</v>
      </c>
      <c r="H614" s="1">
        <v>48</v>
      </c>
      <c r="I614" s="1" t="str">
        <f t="shared" si="9"/>
        <v>46-60</v>
      </c>
      <c r="J614" s="3">
        <v>40389</v>
      </c>
      <c r="K614" s="4">
        <v>124774</v>
      </c>
      <c r="L614" s="5">
        <v>0.15</v>
      </c>
      <c r="M614" s="1" t="s">
        <v>834</v>
      </c>
      <c r="N614" s="1" t="s">
        <v>835</v>
      </c>
      <c r="O614" s="6" t="s">
        <v>26</v>
      </c>
    </row>
    <row r="615" spans="1:15" x14ac:dyDescent="0.35">
      <c r="A615" t="s">
        <v>1262</v>
      </c>
      <c r="B615" s="1" t="s">
        <v>1263</v>
      </c>
      <c r="C615" s="1" t="s">
        <v>469</v>
      </c>
      <c r="D615" s="1" t="s">
        <v>3</v>
      </c>
      <c r="E615" s="1" t="s">
        <v>41</v>
      </c>
      <c r="F615" s="1" t="s">
        <v>35</v>
      </c>
      <c r="G615" s="1" t="s">
        <v>833</v>
      </c>
      <c r="H615" s="1">
        <v>36</v>
      </c>
      <c r="I615" s="1" t="str">
        <f t="shared" si="9"/>
        <v>31-45</v>
      </c>
      <c r="J615" s="3">
        <v>40413</v>
      </c>
      <c r="K615" s="4">
        <v>61310</v>
      </c>
      <c r="L615" s="5">
        <v>0.17</v>
      </c>
      <c r="M615" s="1" t="s">
        <v>834</v>
      </c>
      <c r="N615" s="1" t="s">
        <v>835</v>
      </c>
      <c r="O615" s="6" t="s">
        <v>26</v>
      </c>
    </row>
    <row r="616" spans="1:15" x14ac:dyDescent="0.35">
      <c r="A616" t="s">
        <v>1264</v>
      </c>
      <c r="B616" s="1" t="s">
        <v>1265</v>
      </c>
      <c r="C616" s="1" t="s">
        <v>65</v>
      </c>
      <c r="D616" s="1" t="s">
        <v>3</v>
      </c>
      <c r="E616" s="1" t="s">
        <v>21</v>
      </c>
      <c r="F616" s="1" t="s">
        <v>22</v>
      </c>
      <c r="G616" s="1" t="s">
        <v>833</v>
      </c>
      <c r="H616" s="1">
        <v>48</v>
      </c>
      <c r="I616" s="1" t="str">
        <f t="shared" si="9"/>
        <v>46-60</v>
      </c>
      <c r="J616" s="3">
        <v>40435</v>
      </c>
      <c r="K616" s="4">
        <v>99335</v>
      </c>
      <c r="L616" s="5">
        <v>0.1</v>
      </c>
      <c r="M616" s="1" t="s">
        <v>834</v>
      </c>
      <c r="N616" s="1" t="s">
        <v>835</v>
      </c>
      <c r="O616" s="6" t="s">
        <v>26</v>
      </c>
    </row>
    <row r="617" spans="1:15" x14ac:dyDescent="0.35">
      <c r="A617" t="s">
        <v>1266</v>
      </c>
      <c r="B617" s="1" t="s">
        <v>1267</v>
      </c>
      <c r="C617" s="1" t="s">
        <v>106</v>
      </c>
      <c r="D617" s="1" t="s">
        <v>56</v>
      </c>
      <c r="E617" s="1" t="s">
        <v>41</v>
      </c>
      <c r="F617" s="1" t="s">
        <v>35</v>
      </c>
      <c r="G617" s="1" t="s">
        <v>841</v>
      </c>
      <c r="H617" s="1">
        <v>58</v>
      </c>
      <c r="I617" s="1" t="str">
        <f t="shared" si="9"/>
        <v>46-60</v>
      </c>
      <c r="J617" s="3">
        <v>40463</v>
      </c>
      <c r="K617" s="4">
        <v>43001</v>
      </c>
      <c r="L617" s="5">
        <v>0.15</v>
      </c>
      <c r="M617" s="1" t="s">
        <v>834</v>
      </c>
      <c r="N617" s="1" t="s">
        <v>849</v>
      </c>
      <c r="O617" s="6" t="s">
        <v>26</v>
      </c>
    </row>
    <row r="618" spans="1:15" x14ac:dyDescent="0.35">
      <c r="A618" t="s">
        <v>1268</v>
      </c>
      <c r="B618" s="1" t="s">
        <v>1269</v>
      </c>
      <c r="C618" s="1" t="s">
        <v>329</v>
      </c>
      <c r="D618" s="1" t="s">
        <v>3</v>
      </c>
      <c r="E618" s="1" t="s">
        <v>21</v>
      </c>
      <c r="F618" s="1" t="s">
        <v>22</v>
      </c>
      <c r="G618" s="1" t="s">
        <v>833</v>
      </c>
      <c r="H618" s="1">
        <v>40</v>
      </c>
      <c r="I618" s="1" t="str">
        <f t="shared" si="9"/>
        <v>31-45</v>
      </c>
      <c r="J618" s="3">
        <v>40486</v>
      </c>
      <c r="K618" s="4">
        <v>92952</v>
      </c>
      <c r="L618" s="5">
        <v>0.15</v>
      </c>
      <c r="M618" s="1" t="s">
        <v>834</v>
      </c>
      <c r="N618" s="1" t="s">
        <v>934</v>
      </c>
      <c r="O618" s="6" t="s">
        <v>26</v>
      </c>
    </row>
    <row r="619" spans="1:15" x14ac:dyDescent="0.35">
      <c r="A619" t="s">
        <v>1270</v>
      </c>
      <c r="B619" s="1" t="s">
        <v>1271</v>
      </c>
      <c r="C619" s="1" t="s">
        <v>29</v>
      </c>
      <c r="D619" s="1" t="s">
        <v>20</v>
      </c>
      <c r="E619" s="1" t="s">
        <v>73</v>
      </c>
      <c r="F619" s="1" t="s">
        <v>22</v>
      </c>
      <c r="G619" s="1" t="s">
        <v>833</v>
      </c>
      <c r="H619" s="1">
        <v>45</v>
      </c>
      <c r="I619" s="1" t="str">
        <f t="shared" si="9"/>
        <v>31-45</v>
      </c>
      <c r="J619" s="3">
        <v>40511</v>
      </c>
      <c r="K619" s="4">
        <v>153767</v>
      </c>
      <c r="L619" s="5">
        <v>0.11</v>
      </c>
      <c r="M619" s="1" t="s">
        <v>834</v>
      </c>
      <c r="N619" s="1" t="s">
        <v>835</v>
      </c>
      <c r="O619" s="6" t="s">
        <v>26</v>
      </c>
    </row>
    <row r="620" spans="1:15" x14ac:dyDescent="0.35">
      <c r="A620" t="s">
        <v>1272</v>
      </c>
      <c r="B620" s="1" t="s">
        <v>1273</v>
      </c>
      <c r="C620" s="1" t="s">
        <v>110</v>
      </c>
      <c r="D620" s="1" t="s">
        <v>3</v>
      </c>
      <c r="E620" s="1" t="s">
        <v>21</v>
      </c>
      <c r="F620" s="1" t="s">
        <v>22</v>
      </c>
      <c r="G620" s="1" t="s">
        <v>841</v>
      </c>
      <c r="H620" s="1">
        <v>42</v>
      </c>
      <c r="I620" s="1" t="str">
        <f t="shared" si="9"/>
        <v>31-45</v>
      </c>
      <c r="J620" s="3">
        <v>40511</v>
      </c>
      <c r="K620" s="4">
        <v>186725</v>
      </c>
      <c r="L620" s="5">
        <v>0.17</v>
      </c>
      <c r="M620" s="1" t="s">
        <v>842</v>
      </c>
      <c r="N620" s="1" t="s">
        <v>864</v>
      </c>
      <c r="O620" s="6" t="s">
        <v>26</v>
      </c>
    </row>
    <row r="621" spans="1:15" x14ac:dyDescent="0.35">
      <c r="A621" t="s">
        <v>1274</v>
      </c>
      <c r="B621" s="1" t="s">
        <v>1275</v>
      </c>
      <c r="C621" s="1" t="s">
        <v>69</v>
      </c>
      <c r="D621" s="1" t="s">
        <v>20</v>
      </c>
      <c r="E621" s="1" t="s">
        <v>73</v>
      </c>
      <c r="F621" s="1" t="s">
        <v>22</v>
      </c>
      <c r="G621" s="1" t="s">
        <v>833</v>
      </c>
      <c r="H621" s="1">
        <v>54</v>
      </c>
      <c r="I621" s="1" t="str">
        <f t="shared" si="9"/>
        <v>46-60</v>
      </c>
      <c r="J621" s="3">
        <v>40517</v>
      </c>
      <c r="K621" s="4">
        <v>113982</v>
      </c>
      <c r="L621" s="5">
        <v>0.1</v>
      </c>
      <c r="M621" s="1" t="s">
        <v>834</v>
      </c>
      <c r="N621" s="1" t="s">
        <v>934</v>
      </c>
      <c r="O621" s="6" t="s">
        <v>26</v>
      </c>
    </row>
    <row r="622" spans="1:15" x14ac:dyDescent="0.35">
      <c r="A622" t="s">
        <v>1276</v>
      </c>
      <c r="B622" s="1" t="s">
        <v>1277</v>
      </c>
      <c r="C622" s="1" t="s">
        <v>536</v>
      </c>
      <c r="D622" s="1" t="s">
        <v>3</v>
      </c>
      <c r="E622" s="1" t="s">
        <v>30</v>
      </c>
      <c r="F622" s="1" t="s">
        <v>35</v>
      </c>
      <c r="G622" s="1" t="s">
        <v>833</v>
      </c>
      <c r="H622" s="1">
        <v>40</v>
      </c>
      <c r="I622" s="1" t="str">
        <f t="shared" si="9"/>
        <v>31-45</v>
      </c>
      <c r="J622" s="3">
        <v>40522</v>
      </c>
      <c r="K622" s="4">
        <v>97807</v>
      </c>
      <c r="L622" s="5">
        <v>0.08</v>
      </c>
      <c r="M622" s="1" t="s">
        <v>834</v>
      </c>
      <c r="N622" s="1" t="s">
        <v>846</v>
      </c>
      <c r="O622" s="6" t="s">
        <v>26</v>
      </c>
    </row>
    <row r="623" spans="1:15" x14ac:dyDescent="0.35">
      <c r="A623" t="s">
        <v>1278</v>
      </c>
      <c r="B623" s="1" t="s">
        <v>1279</v>
      </c>
      <c r="C623" s="1" t="s">
        <v>110</v>
      </c>
      <c r="D623" s="1" t="s">
        <v>56</v>
      </c>
      <c r="E623" s="1" t="s">
        <v>30</v>
      </c>
      <c r="F623" s="1" t="s">
        <v>22</v>
      </c>
      <c r="G623" s="1" t="s">
        <v>852</v>
      </c>
      <c r="H623" s="1">
        <v>45</v>
      </c>
      <c r="I623" s="1" t="str">
        <f t="shared" si="9"/>
        <v>31-45</v>
      </c>
      <c r="J623" s="3">
        <v>40524</v>
      </c>
      <c r="K623" s="4">
        <v>190512</v>
      </c>
      <c r="L623" s="5">
        <v>0.12</v>
      </c>
      <c r="M623" s="1" t="s">
        <v>834</v>
      </c>
      <c r="N623" s="1" t="s">
        <v>855</v>
      </c>
      <c r="O623" s="6" t="s">
        <v>26</v>
      </c>
    </row>
    <row r="624" spans="1:15" x14ac:dyDescent="0.35">
      <c r="A624" t="s">
        <v>1280</v>
      </c>
      <c r="B624" s="1" t="s">
        <v>1281</v>
      </c>
      <c r="C624" s="1" t="s">
        <v>169</v>
      </c>
      <c r="D624" s="1" t="s">
        <v>3</v>
      </c>
      <c r="E624" s="1" t="s">
        <v>41</v>
      </c>
      <c r="F624" s="1" t="s">
        <v>22</v>
      </c>
      <c r="G624" s="1" t="s">
        <v>841</v>
      </c>
      <c r="H624" s="1">
        <v>36</v>
      </c>
      <c r="I624" s="1" t="str">
        <f t="shared" si="9"/>
        <v>31-45</v>
      </c>
      <c r="J624" s="3">
        <v>40535</v>
      </c>
      <c r="K624" s="4">
        <v>53215</v>
      </c>
      <c r="L624" s="5">
        <v>0.12</v>
      </c>
      <c r="M624" s="1" t="s">
        <v>842</v>
      </c>
      <c r="N624" s="1" t="s">
        <v>843</v>
      </c>
      <c r="O624" s="6">
        <v>41725</v>
      </c>
    </row>
    <row r="625" spans="1:15" x14ac:dyDescent="0.35">
      <c r="A625" t="s">
        <v>1282</v>
      </c>
      <c r="B625" s="1" t="s">
        <v>1283</v>
      </c>
      <c r="C625" s="1" t="s">
        <v>274</v>
      </c>
      <c r="D625" s="1" t="s">
        <v>3</v>
      </c>
      <c r="E625" s="1" t="s">
        <v>41</v>
      </c>
      <c r="F625" s="1" t="s">
        <v>22</v>
      </c>
      <c r="G625" s="1" t="s">
        <v>852</v>
      </c>
      <c r="H625" s="1">
        <v>54</v>
      </c>
      <c r="I625" s="1" t="str">
        <f t="shared" si="9"/>
        <v>46-60</v>
      </c>
      <c r="J625" s="3">
        <v>40540</v>
      </c>
      <c r="K625" s="4">
        <v>64417</v>
      </c>
      <c r="L625" s="5">
        <v>0.05</v>
      </c>
      <c r="M625" s="1" t="s">
        <v>834</v>
      </c>
      <c r="N625" s="1" t="s">
        <v>855</v>
      </c>
      <c r="O625" s="6" t="s">
        <v>26</v>
      </c>
    </row>
    <row r="626" spans="1:15" x14ac:dyDescent="0.35">
      <c r="A626" t="s">
        <v>1284</v>
      </c>
      <c r="B626" s="1" t="s">
        <v>1285</v>
      </c>
      <c r="C626" s="1" t="s">
        <v>110</v>
      </c>
      <c r="D626" s="1" t="s">
        <v>3</v>
      </c>
      <c r="E626" s="1" t="s">
        <v>73</v>
      </c>
      <c r="F626" s="1" t="s">
        <v>22</v>
      </c>
      <c r="G626" s="1" t="s">
        <v>852</v>
      </c>
      <c r="H626" s="1">
        <v>59</v>
      </c>
      <c r="I626" s="1" t="str">
        <f t="shared" si="9"/>
        <v>46-60</v>
      </c>
      <c r="J626" s="3">
        <v>40542</v>
      </c>
      <c r="K626" s="4">
        <v>246619</v>
      </c>
      <c r="L626" s="5">
        <v>7.0000000000000007E-2</v>
      </c>
      <c r="M626" s="1" t="s">
        <v>834</v>
      </c>
      <c r="N626" s="1" t="s">
        <v>838</v>
      </c>
      <c r="O626" s="6" t="s">
        <v>26</v>
      </c>
    </row>
    <row r="627" spans="1:15" x14ac:dyDescent="0.35">
      <c r="A627" t="s">
        <v>1286</v>
      </c>
      <c r="B627" s="1" t="s">
        <v>1287</v>
      </c>
      <c r="C627" s="1" t="s">
        <v>102</v>
      </c>
      <c r="D627" s="1" t="s">
        <v>187</v>
      </c>
      <c r="E627" s="1" t="s">
        <v>41</v>
      </c>
      <c r="F627" s="1" t="s">
        <v>35</v>
      </c>
      <c r="G627" s="1" t="s">
        <v>833</v>
      </c>
      <c r="H627" s="1">
        <v>55</v>
      </c>
      <c r="I627" s="1" t="str">
        <f t="shared" si="9"/>
        <v>46-60</v>
      </c>
      <c r="J627" s="3">
        <v>40552</v>
      </c>
      <c r="K627" s="4">
        <v>138521</v>
      </c>
      <c r="L627" s="5">
        <v>0.15</v>
      </c>
      <c r="M627" s="1" t="s">
        <v>834</v>
      </c>
      <c r="N627" s="1" t="s">
        <v>838</v>
      </c>
      <c r="O627" s="6" t="s">
        <v>26</v>
      </c>
    </row>
    <row r="628" spans="1:15" x14ac:dyDescent="0.35">
      <c r="A628" t="s">
        <v>1288</v>
      </c>
      <c r="B628" s="1" t="s">
        <v>1289</v>
      </c>
      <c r="C628" s="1" t="s">
        <v>329</v>
      </c>
      <c r="D628" s="1" t="s">
        <v>3</v>
      </c>
      <c r="E628" s="1" t="s">
        <v>41</v>
      </c>
      <c r="F628" s="1" t="s">
        <v>22</v>
      </c>
      <c r="G628" s="1" t="s">
        <v>833</v>
      </c>
      <c r="H628" s="1">
        <v>40</v>
      </c>
      <c r="I628" s="1" t="str">
        <f t="shared" si="9"/>
        <v>31-45</v>
      </c>
      <c r="J628" s="3">
        <v>40565</v>
      </c>
      <c r="K628" s="4">
        <v>97339</v>
      </c>
      <c r="L628" s="5">
        <v>0.13</v>
      </c>
      <c r="M628" s="1" t="s">
        <v>834</v>
      </c>
      <c r="N628" s="1" t="s">
        <v>849</v>
      </c>
      <c r="O628" s="6" t="s">
        <v>26</v>
      </c>
    </row>
    <row r="629" spans="1:15" x14ac:dyDescent="0.35">
      <c r="A629" t="s">
        <v>1290</v>
      </c>
      <c r="B629" s="1" t="s">
        <v>1291</v>
      </c>
      <c r="C629" s="1" t="s">
        <v>45</v>
      </c>
      <c r="D629" s="1" t="s">
        <v>187</v>
      </c>
      <c r="E629" s="1" t="s">
        <v>73</v>
      </c>
      <c r="F629" s="1" t="s">
        <v>22</v>
      </c>
      <c r="G629" s="1" t="s">
        <v>841</v>
      </c>
      <c r="H629" s="1">
        <v>62</v>
      </c>
      <c r="I629" s="1" t="str">
        <f t="shared" si="9"/>
        <v>&gt;60</v>
      </c>
      <c r="J629" s="3">
        <v>40591</v>
      </c>
      <c r="K629" s="4">
        <v>94422</v>
      </c>
      <c r="L629" s="5">
        <v>0.14000000000000001</v>
      </c>
      <c r="M629" s="1" t="s">
        <v>834</v>
      </c>
      <c r="N629" s="1" t="s">
        <v>835</v>
      </c>
      <c r="O629" s="6" t="s">
        <v>26</v>
      </c>
    </row>
    <row r="630" spans="1:15" x14ac:dyDescent="0.35">
      <c r="A630" t="s">
        <v>1292</v>
      </c>
      <c r="B630" s="1" t="s">
        <v>1293</v>
      </c>
      <c r="C630" s="1" t="s">
        <v>123</v>
      </c>
      <c r="D630" s="1" t="s">
        <v>3</v>
      </c>
      <c r="E630" s="1" t="s">
        <v>41</v>
      </c>
      <c r="F630" s="1" t="s">
        <v>35</v>
      </c>
      <c r="G630" s="1" t="s">
        <v>852</v>
      </c>
      <c r="H630" s="1">
        <v>42</v>
      </c>
      <c r="I630" s="1" t="str">
        <f t="shared" si="9"/>
        <v>31-45</v>
      </c>
      <c r="J630" s="3">
        <v>40593</v>
      </c>
      <c r="K630" s="4">
        <v>72486</v>
      </c>
      <c r="L630" s="5">
        <v>0.16</v>
      </c>
      <c r="M630" s="1" t="s">
        <v>834</v>
      </c>
      <c r="N630" s="1" t="s">
        <v>934</v>
      </c>
      <c r="O630" s="6" t="s">
        <v>26</v>
      </c>
    </row>
    <row r="631" spans="1:15" x14ac:dyDescent="0.35">
      <c r="A631" t="s">
        <v>1294</v>
      </c>
      <c r="B631" s="1" t="s">
        <v>1295</v>
      </c>
      <c r="C631" s="1" t="s">
        <v>250</v>
      </c>
      <c r="D631" s="1" t="s">
        <v>3</v>
      </c>
      <c r="E631" s="1" t="s">
        <v>41</v>
      </c>
      <c r="F631" s="1" t="s">
        <v>35</v>
      </c>
      <c r="G631" s="1" t="s">
        <v>841</v>
      </c>
      <c r="H631" s="1">
        <v>44</v>
      </c>
      <c r="I631" s="1" t="str">
        <f t="shared" si="9"/>
        <v>31-45</v>
      </c>
      <c r="J631" s="3">
        <v>40603</v>
      </c>
      <c r="K631" s="4">
        <v>82462</v>
      </c>
      <c r="L631" s="5">
        <v>0.12</v>
      </c>
      <c r="M631" s="1" t="s">
        <v>834</v>
      </c>
      <c r="N631" s="1" t="s">
        <v>849</v>
      </c>
      <c r="O631" s="6" t="s">
        <v>26</v>
      </c>
    </row>
    <row r="632" spans="1:15" x14ac:dyDescent="0.35">
      <c r="A632" t="s">
        <v>1296</v>
      </c>
      <c r="B632" s="1" t="s">
        <v>1297</v>
      </c>
      <c r="C632" s="1" t="s">
        <v>45</v>
      </c>
      <c r="D632" s="1" t="s">
        <v>1</v>
      </c>
      <c r="E632" s="1" t="s">
        <v>30</v>
      </c>
      <c r="F632" s="1" t="s">
        <v>22</v>
      </c>
      <c r="G632" s="1" t="s">
        <v>833</v>
      </c>
      <c r="H632" s="1">
        <v>45</v>
      </c>
      <c r="I632" s="1" t="str">
        <f t="shared" si="9"/>
        <v>31-45</v>
      </c>
      <c r="J632" s="3">
        <v>40618</v>
      </c>
      <c r="K632" s="4">
        <v>81687</v>
      </c>
      <c r="L632" s="5">
        <v>0.05</v>
      </c>
      <c r="M632" s="1" t="s">
        <v>834</v>
      </c>
      <c r="N632" s="1" t="s">
        <v>835</v>
      </c>
      <c r="O632" s="6" t="s">
        <v>26</v>
      </c>
    </row>
    <row r="633" spans="1:15" x14ac:dyDescent="0.35">
      <c r="A633" t="s">
        <v>1298</v>
      </c>
      <c r="B633" s="1" t="s">
        <v>1299</v>
      </c>
      <c r="C633" s="1" t="s">
        <v>144</v>
      </c>
      <c r="D633" s="1" t="s">
        <v>61</v>
      </c>
      <c r="E633" s="1" t="s">
        <v>41</v>
      </c>
      <c r="F633" s="1" t="s">
        <v>22</v>
      </c>
      <c r="G633" s="1" t="s">
        <v>841</v>
      </c>
      <c r="H633" s="1">
        <v>35</v>
      </c>
      <c r="I633" s="1" t="str">
        <f t="shared" si="9"/>
        <v>31-45</v>
      </c>
      <c r="J633" s="3">
        <v>40678</v>
      </c>
      <c r="K633" s="4">
        <v>66889</v>
      </c>
      <c r="L633" s="5">
        <v>0.12</v>
      </c>
      <c r="M633" s="1" t="s">
        <v>834</v>
      </c>
      <c r="N633" s="1" t="s">
        <v>855</v>
      </c>
      <c r="O633" s="6" t="s">
        <v>26</v>
      </c>
    </row>
    <row r="634" spans="1:15" x14ac:dyDescent="0.35">
      <c r="A634" t="s">
        <v>1300</v>
      </c>
      <c r="B634" s="1" t="s">
        <v>1301</v>
      </c>
      <c r="C634" s="1" t="s">
        <v>342</v>
      </c>
      <c r="D634" s="1" t="s">
        <v>56</v>
      </c>
      <c r="E634" s="1" t="s">
        <v>41</v>
      </c>
      <c r="F634" s="1" t="s">
        <v>35</v>
      </c>
      <c r="G634" s="1" t="s">
        <v>833</v>
      </c>
      <c r="H634" s="1">
        <v>61</v>
      </c>
      <c r="I634" s="1" t="str">
        <f t="shared" si="9"/>
        <v>&gt;60</v>
      </c>
      <c r="J634" s="3">
        <v>40683</v>
      </c>
      <c r="K634" s="4">
        <v>64937</v>
      </c>
      <c r="L634" s="5">
        <v>0.1</v>
      </c>
      <c r="M634" s="1" t="s">
        <v>834</v>
      </c>
      <c r="N634" s="1" t="s">
        <v>835</v>
      </c>
      <c r="O634" s="6" t="s">
        <v>26</v>
      </c>
    </row>
    <row r="635" spans="1:15" x14ac:dyDescent="0.35">
      <c r="A635" t="s">
        <v>1302</v>
      </c>
      <c r="B635" s="1" t="s">
        <v>1303</v>
      </c>
      <c r="C635" s="1" t="s">
        <v>102</v>
      </c>
      <c r="D635" s="1" t="s">
        <v>56</v>
      </c>
      <c r="E635" s="1" t="s">
        <v>73</v>
      </c>
      <c r="F635" s="1" t="s">
        <v>35</v>
      </c>
      <c r="G635" s="1" t="s">
        <v>841</v>
      </c>
      <c r="H635" s="1">
        <v>45</v>
      </c>
      <c r="I635" s="1" t="str">
        <f t="shared" si="9"/>
        <v>31-45</v>
      </c>
      <c r="J635" s="3">
        <v>40685</v>
      </c>
      <c r="K635" s="4">
        <v>152353</v>
      </c>
      <c r="L635" s="5">
        <v>0.05</v>
      </c>
      <c r="M635" s="1" t="s">
        <v>834</v>
      </c>
      <c r="N635" s="1" t="s">
        <v>934</v>
      </c>
      <c r="O635" s="6" t="s">
        <v>26</v>
      </c>
    </row>
    <row r="636" spans="1:15" x14ac:dyDescent="0.35">
      <c r="A636" t="s">
        <v>1304</v>
      </c>
      <c r="B636" s="1" t="s">
        <v>1305</v>
      </c>
      <c r="C636" s="1" t="s">
        <v>60</v>
      </c>
      <c r="D636" s="1" t="s">
        <v>1</v>
      </c>
      <c r="E636" s="1" t="s">
        <v>30</v>
      </c>
      <c r="F636" s="1" t="s">
        <v>22</v>
      </c>
      <c r="G636" s="1" t="s">
        <v>852</v>
      </c>
      <c r="H636" s="1">
        <v>42</v>
      </c>
      <c r="I636" s="1" t="str">
        <f t="shared" si="9"/>
        <v>31-45</v>
      </c>
      <c r="J636" s="3">
        <v>40692</v>
      </c>
      <c r="K636" s="4">
        <v>102440</v>
      </c>
      <c r="L636" s="5">
        <v>0.13</v>
      </c>
      <c r="M636" s="1" t="s">
        <v>834</v>
      </c>
      <c r="N636" s="1" t="s">
        <v>846</v>
      </c>
      <c r="O636" s="6" t="s">
        <v>26</v>
      </c>
    </row>
    <row r="637" spans="1:15" x14ac:dyDescent="0.35">
      <c r="A637" t="s">
        <v>1306</v>
      </c>
      <c r="B637" s="1" t="s">
        <v>1307</v>
      </c>
      <c r="C637" s="1" t="s">
        <v>2</v>
      </c>
      <c r="D637" s="1" t="s">
        <v>61</v>
      </c>
      <c r="E637" s="1" t="s">
        <v>21</v>
      </c>
      <c r="F637" s="1" t="s">
        <v>35</v>
      </c>
      <c r="G637" s="1" t="s">
        <v>852</v>
      </c>
      <c r="H637" s="1">
        <v>65</v>
      </c>
      <c r="I637" s="1" t="str">
        <f t="shared" si="9"/>
        <v>&gt;60</v>
      </c>
      <c r="J637" s="3">
        <v>40711</v>
      </c>
      <c r="K637" s="4">
        <v>56686</v>
      </c>
      <c r="L637" s="5">
        <v>7.0000000000000007E-2</v>
      </c>
      <c r="M637" s="1" t="s">
        <v>834</v>
      </c>
      <c r="N637" s="1" t="s">
        <v>934</v>
      </c>
      <c r="O637" s="6">
        <v>42164</v>
      </c>
    </row>
    <row r="638" spans="1:15" x14ac:dyDescent="0.35">
      <c r="A638" t="s">
        <v>1308</v>
      </c>
      <c r="B638" s="1" t="s">
        <v>1309</v>
      </c>
      <c r="C638" s="1" t="s">
        <v>110</v>
      </c>
      <c r="D638" s="1" t="s">
        <v>61</v>
      </c>
      <c r="E638" s="1" t="s">
        <v>41</v>
      </c>
      <c r="F638" s="1" t="s">
        <v>35</v>
      </c>
      <c r="G638" s="1" t="s">
        <v>841</v>
      </c>
      <c r="H638" s="1">
        <v>37</v>
      </c>
      <c r="I638" s="1" t="str">
        <f t="shared" si="9"/>
        <v>31-45</v>
      </c>
      <c r="J638" s="3">
        <v>40745</v>
      </c>
      <c r="K638" s="4">
        <v>219474</v>
      </c>
      <c r="L638" s="5">
        <v>0.11</v>
      </c>
      <c r="M638" s="1" t="s">
        <v>842</v>
      </c>
      <c r="N638" s="1" t="s">
        <v>864</v>
      </c>
      <c r="O638" s="6" t="s">
        <v>26</v>
      </c>
    </row>
    <row r="639" spans="1:15" x14ac:dyDescent="0.35">
      <c r="A639" t="s">
        <v>1310</v>
      </c>
      <c r="B639" s="1" t="s">
        <v>1311</v>
      </c>
      <c r="C639" s="1" t="s">
        <v>110</v>
      </c>
      <c r="D639" s="1" t="s">
        <v>1</v>
      </c>
      <c r="E639" s="1" t="s">
        <v>21</v>
      </c>
      <c r="F639" s="1" t="s">
        <v>22</v>
      </c>
      <c r="G639" s="1" t="s">
        <v>841</v>
      </c>
      <c r="H639" s="1">
        <v>39</v>
      </c>
      <c r="I639" s="1" t="str">
        <f t="shared" si="9"/>
        <v>31-45</v>
      </c>
      <c r="J639" s="3">
        <v>40778</v>
      </c>
      <c r="K639" s="4">
        <v>249506</v>
      </c>
      <c r="L639" s="5">
        <v>7.0000000000000007E-2</v>
      </c>
      <c r="M639" s="1" t="s">
        <v>842</v>
      </c>
      <c r="N639" s="1" t="s">
        <v>871</v>
      </c>
      <c r="O639" s="6" t="s">
        <v>26</v>
      </c>
    </row>
    <row r="640" spans="1:15" x14ac:dyDescent="0.35">
      <c r="A640" t="s">
        <v>1312</v>
      </c>
      <c r="B640" s="1" t="s">
        <v>1313</v>
      </c>
      <c r="C640" s="1" t="s">
        <v>60</v>
      </c>
      <c r="D640" s="1" t="s">
        <v>61</v>
      </c>
      <c r="E640" s="1" t="s">
        <v>41</v>
      </c>
      <c r="F640" s="1" t="s">
        <v>35</v>
      </c>
      <c r="G640" s="1" t="s">
        <v>833</v>
      </c>
      <c r="H640" s="1">
        <v>65</v>
      </c>
      <c r="I640" s="1" t="str">
        <f t="shared" si="9"/>
        <v>&gt;60</v>
      </c>
      <c r="J640" s="3">
        <v>40793</v>
      </c>
      <c r="K640" s="4">
        <v>104903</v>
      </c>
      <c r="L640" s="5">
        <v>0.08</v>
      </c>
      <c r="M640" s="1" t="s">
        <v>834</v>
      </c>
      <c r="N640" s="1" t="s">
        <v>855</v>
      </c>
      <c r="O640" s="6" t="s">
        <v>26</v>
      </c>
    </row>
    <row r="641" spans="1:15" x14ac:dyDescent="0.35">
      <c r="A641" t="s">
        <v>1314</v>
      </c>
      <c r="B641" s="1" t="s">
        <v>1315</v>
      </c>
      <c r="C641" s="1" t="s">
        <v>60</v>
      </c>
      <c r="D641" s="1" t="s">
        <v>56</v>
      </c>
      <c r="E641" s="1" t="s">
        <v>30</v>
      </c>
      <c r="F641" s="1" t="s">
        <v>22</v>
      </c>
      <c r="G641" s="1" t="s">
        <v>841</v>
      </c>
      <c r="H641" s="1">
        <v>46</v>
      </c>
      <c r="I641" s="1" t="str">
        <f t="shared" si="9"/>
        <v>46-60</v>
      </c>
      <c r="J641" s="3">
        <v>40810</v>
      </c>
      <c r="K641" s="4">
        <v>102167</v>
      </c>
      <c r="L641" s="5">
        <v>0.09</v>
      </c>
      <c r="M641" s="1" t="s">
        <v>842</v>
      </c>
      <c r="N641" s="1" t="s">
        <v>871</v>
      </c>
      <c r="O641" s="6" t="s">
        <v>26</v>
      </c>
    </row>
    <row r="642" spans="1:15" x14ac:dyDescent="0.35">
      <c r="A642" t="s">
        <v>1316</v>
      </c>
      <c r="B642" s="1" t="s">
        <v>1317</v>
      </c>
      <c r="C642" s="1" t="s">
        <v>540</v>
      </c>
      <c r="D642" s="1" t="s">
        <v>20</v>
      </c>
      <c r="E642" s="1" t="s">
        <v>21</v>
      </c>
      <c r="F642" s="1" t="s">
        <v>22</v>
      </c>
      <c r="G642" s="1" t="s">
        <v>833</v>
      </c>
      <c r="H642" s="1">
        <v>62</v>
      </c>
      <c r="I642" s="1" t="str">
        <f t="shared" si="9"/>
        <v>&gt;60</v>
      </c>
      <c r="J642" s="3">
        <v>40820</v>
      </c>
      <c r="K642" s="4">
        <v>63959</v>
      </c>
      <c r="L642" s="5">
        <v>0.1</v>
      </c>
      <c r="M642" s="1" t="s">
        <v>834</v>
      </c>
      <c r="N642" s="1" t="s">
        <v>934</v>
      </c>
      <c r="O642" s="6" t="s">
        <v>26</v>
      </c>
    </row>
    <row r="643" spans="1:15" x14ac:dyDescent="0.35">
      <c r="A643" t="s">
        <v>1318</v>
      </c>
      <c r="B643" s="1" t="s">
        <v>1319</v>
      </c>
      <c r="C643" s="1" t="s">
        <v>102</v>
      </c>
      <c r="D643" s="1" t="s">
        <v>1</v>
      </c>
      <c r="E643" s="1" t="s">
        <v>73</v>
      </c>
      <c r="F643" s="1" t="s">
        <v>22</v>
      </c>
      <c r="G643" s="1" t="s">
        <v>841</v>
      </c>
      <c r="H643" s="1">
        <v>54</v>
      </c>
      <c r="I643" s="1" t="str">
        <f t="shared" ref="I643:I706" si="10">IF(H643&gt;=60,"&gt;60",IF(H643&gt;=46,"46-60",IF(H643&gt;=31,"31-45",IF(H643&gt;18,"18-30",""))))</f>
        <v>46-60</v>
      </c>
      <c r="J643" s="3">
        <v>40836</v>
      </c>
      <c r="K643" s="4">
        <v>122644</v>
      </c>
      <c r="L643" s="5">
        <v>0.12</v>
      </c>
      <c r="M643" s="1" t="s">
        <v>834</v>
      </c>
      <c r="N643" s="1" t="s">
        <v>849</v>
      </c>
      <c r="O643" s="6" t="s">
        <v>26</v>
      </c>
    </row>
    <row r="644" spans="1:15" x14ac:dyDescent="0.35">
      <c r="A644" t="s">
        <v>1320</v>
      </c>
      <c r="B644" s="1" t="s">
        <v>1321</v>
      </c>
      <c r="C644" s="1" t="s">
        <v>110</v>
      </c>
      <c r="D644" s="1" t="s">
        <v>3</v>
      </c>
      <c r="E644" s="1" t="s">
        <v>21</v>
      </c>
      <c r="F644" s="1" t="s">
        <v>35</v>
      </c>
      <c r="G644" s="1" t="s">
        <v>833</v>
      </c>
      <c r="H644" s="1">
        <v>53</v>
      </c>
      <c r="I644" s="1" t="str">
        <f t="shared" si="10"/>
        <v>46-60</v>
      </c>
      <c r="J644" s="3">
        <v>40856</v>
      </c>
      <c r="K644" s="4">
        <v>198473</v>
      </c>
      <c r="L644" s="5">
        <v>0.05</v>
      </c>
      <c r="M644" s="1" t="s">
        <v>834</v>
      </c>
      <c r="N644" s="1" t="s">
        <v>838</v>
      </c>
      <c r="O644" s="6" t="s">
        <v>26</v>
      </c>
    </row>
    <row r="645" spans="1:15" x14ac:dyDescent="0.35">
      <c r="A645" t="s">
        <v>1322</v>
      </c>
      <c r="B645" s="1" t="s">
        <v>1323</v>
      </c>
      <c r="C645" s="1" t="s">
        <v>250</v>
      </c>
      <c r="D645" s="1" t="s">
        <v>3</v>
      </c>
      <c r="E645" s="1" t="s">
        <v>41</v>
      </c>
      <c r="F645" s="1" t="s">
        <v>35</v>
      </c>
      <c r="G645" s="1" t="s">
        <v>833</v>
      </c>
      <c r="H645" s="1">
        <v>55</v>
      </c>
      <c r="I645" s="1" t="str">
        <f t="shared" si="10"/>
        <v>46-60</v>
      </c>
      <c r="J645" s="3">
        <v>40868</v>
      </c>
      <c r="K645" s="4">
        <v>81218</v>
      </c>
      <c r="L645" s="5">
        <v>0.06</v>
      </c>
      <c r="M645" s="1" t="s">
        <v>834</v>
      </c>
      <c r="N645" s="1" t="s">
        <v>846</v>
      </c>
      <c r="O645" s="6" t="s">
        <v>26</v>
      </c>
    </row>
    <row r="646" spans="1:15" x14ac:dyDescent="0.35">
      <c r="A646" t="s">
        <v>1324</v>
      </c>
      <c r="B646" s="1" t="s">
        <v>1325</v>
      </c>
      <c r="C646" s="1" t="s">
        <v>2</v>
      </c>
      <c r="D646" s="1" t="s">
        <v>187</v>
      </c>
      <c r="E646" s="1" t="s">
        <v>73</v>
      </c>
      <c r="F646" s="1" t="s">
        <v>22</v>
      </c>
      <c r="G646" s="1" t="s">
        <v>833</v>
      </c>
      <c r="H646" s="1">
        <v>49</v>
      </c>
      <c r="I646" s="1" t="str">
        <f t="shared" si="10"/>
        <v>46-60</v>
      </c>
      <c r="J646" s="3">
        <v>40894</v>
      </c>
      <c r="K646" s="4">
        <v>56878</v>
      </c>
      <c r="L646" s="5">
        <v>0.13</v>
      </c>
      <c r="M646" s="1" t="s">
        <v>834</v>
      </c>
      <c r="N646" s="1" t="s">
        <v>934</v>
      </c>
      <c r="O646" s="6" t="s">
        <v>26</v>
      </c>
    </row>
    <row r="647" spans="1:15" x14ac:dyDescent="0.35">
      <c r="A647" t="s">
        <v>1326</v>
      </c>
      <c r="B647" s="1" t="s">
        <v>1327</v>
      </c>
      <c r="C647" s="1" t="s">
        <v>102</v>
      </c>
      <c r="D647" s="1" t="s">
        <v>3</v>
      </c>
      <c r="E647" s="1" t="s">
        <v>41</v>
      </c>
      <c r="F647" s="1" t="s">
        <v>22</v>
      </c>
      <c r="G647" s="1" t="s">
        <v>841</v>
      </c>
      <c r="H647" s="1">
        <v>56</v>
      </c>
      <c r="I647" s="1" t="str">
        <f t="shared" si="10"/>
        <v>46-60</v>
      </c>
      <c r="J647" s="3">
        <v>40917</v>
      </c>
      <c r="K647" s="4">
        <v>146140</v>
      </c>
      <c r="L647" s="5">
        <v>0.17</v>
      </c>
      <c r="M647" s="1" t="s">
        <v>842</v>
      </c>
      <c r="N647" s="1" t="s">
        <v>864</v>
      </c>
      <c r="O647" s="6" t="s">
        <v>26</v>
      </c>
    </row>
    <row r="648" spans="1:15" x14ac:dyDescent="0.35">
      <c r="A648" t="s">
        <v>1328</v>
      </c>
      <c r="B648" s="1" t="s">
        <v>1329</v>
      </c>
      <c r="C648" s="1" t="s">
        <v>234</v>
      </c>
      <c r="D648" s="1" t="s">
        <v>20</v>
      </c>
      <c r="E648" s="1" t="s">
        <v>21</v>
      </c>
      <c r="F648" s="1" t="s">
        <v>22</v>
      </c>
      <c r="G648" s="1" t="s">
        <v>841</v>
      </c>
      <c r="H648" s="1">
        <v>41</v>
      </c>
      <c r="I648" s="1" t="str">
        <f t="shared" si="10"/>
        <v>31-45</v>
      </c>
      <c r="J648" s="3">
        <v>40929</v>
      </c>
      <c r="K648" s="4">
        <v>94658</v>
      </c>
      <c r="L648" s="5">
        <v>0.12</v>
      </c>
      <c r="M648" s="1" t="s">
        <v>834</v>
      </c>
      <c r="N648" s="1" t="s">
        <v>838</v>
      </c>
      <c r="O648" s="6" t="s">
        <v>26</v>
      </c>
    </row>
    <row r="649" spans="1:15" x14ac:dyDescent="0.35">
      <c r="A649" t="s">
        <v>1330</v>
      </c>
      <c r="B649" s="1" t="s">
        <v>1331</v>
      </c>
      <c r="C649" s="1" t="s">
        <v>469</v>
      </c>
      <c r="D649" s="1" t="s">
        <v>3</v>
      </c>
      <c r="E649" s="1" t="s">
        <v>30</v>
      </c>
      <c r="F649" s="1" t="s">
        <v>35</v>
      </c>
      <c r="G649" s="1" t="s">
        <v>833</v>
      </c>
      <c r="H649" s="1">
        <v>40</v>
      </c>
      <c r="I649" s="1" t="str">
        <f t="shared" si="10"/>
        <v>31-45</v>
      </c>
      <c r="J649" s="3">
        <v>40944</v>
      </c>
      <c r="K649" s="4">
        <v>61523</v>
      </c>
      <c r="L649" s="5">
        <v>0.11</v>
      </c>
      <c r="M649" s="1" t="s">
        <v>834</v>
      </c>
      <c r="N649" s="1" t="s">
        <v>855</v>
      </c>
      <c r="O649" s="6" t="s">
        <v>26</v>
      </c>
    </row>
    <row r="650" spans="1:15" x14ac:dyDescent="0.35">
      <c r="A650" t="s">
        <v>1332</v>
      </c>
      <c r="B650" s="1" t="s">
        <v>1333</v>
      </c>
      <c r="C650" s="1" t="s">
        <v>2</v>
      </c>
      <c r="D650" s="1" t="s">
        <v>80</v>
      </c>
      <c r="E650" s="1" t="s">
        <v>30</v>
      </c>
      <c r="F650" s="1" t="s">
        <v>35</v>
      </c>
      <c r="G650" s="1" t="s">
        <v>833</v>
      </c>
      <c r="H650" s="1">
        <v>63</v>
      </c>
      <c r="I650" s="1" t="str">
        <f t="shared" si="10"/>
        <v>&gt;60</v>
      </c>
      <c r="J650" s="3">
        <v>40984</v>
      </c>
      <c r="K650" s="4">
        <v>46081</v>
      </c>
      <c r="L650" s="5">
        <v>0.17</v>
      </c>
      <c r="M650" s="1" t="s">
        <v>834</v>
      </c>
      <c r="N650" s="1" t="s">
        <v>846</v>
      </c>
      <c r="O650" s="6" t="s">
        <v>26</v>
      </c>
    </row>
    <row r="651" spans="1:15" x14ac:dyDescent="0.35">
      <c r="A651" t="s">
        <v>1334</v>
      </c>
      <c r="B651" s="1" t="s">
        <v>1335</v>
      </c>
      <c r="C651" s="1" t="s">
        <v>60</v>
      </c>
      <c r="D651" s="1" t="s">
        <v>1</v>
      </c>
      <c r="E651" s="1" t="s">
        <v>30</v>
      </c>
      <c r="F651" s="1" t="s">
        <v>22</v>
      </c>
      <c r="G651" s="1" t="s">
        <v>841</v>
      </c>
      <c r="H651" s="1">
        <v>50</v>
      </c>
      <c r="I651" s="1" t="str">
        <f t="shared" si="10"/>
        <v>46-60</v>
      </c>
      <c r="J651" s="3">
        <v>41024</v>
      </c>
      <c r="K651" s="4">
        <v>113269</v>
      </c>
      <c r="L651" s="5">
        <v>0.16</v>
      </c>
      <c r="M651" s="1" t="s">
        <v>842</v>
      </c>
      <c r="N651" s="1" t="s">
        <v>843</v>
      </c>
      <c r="O651" s="6" t="s">
        <v>26</v>
      </c>
    </row>
    <row r="652" spans="1:15" x14ac:dyDescent="0.35">
      <c r="A652" t="s">
        <v>1336</v>
      </c>
      <c r="B652" s="1" t="s">
        <v>1337</v>
      </c>
      <c r="C652" s="1" t="s">
        <v>234</v>
      </c>
      <c r="D652" s="1" t="s">
        <v>20</v>
      </c>
      <c r="E652" s="1" t="s">
        <v>73</v>
      </c>
      <c r="F652" s="1" t="s">
        <v>22</v>
      </c>
      <c r="G652" s="1" t="s">
        <v>841</v>
      </c>
      <c r="H652" s="1">
        <v>54</v>
      </c>
      <c r="I652" s="1" t="str">
        <f t="shared" si="10"/>
        <v>46-60</v>
      </c>
      <c r="J652" s="3">
        <v>41028</v>
      </c>
      <c r="K652" s="4">
        <v>96441</v>
      </c>
      <c r="L652" s="5">
        <v>0.1</v>
      </c>
      <c r="M652" s="1" t="s">
        <v>842</v>
      </c>
      <c r="N652" s="1" t="s">
        <v>843</v>
      </c>
      <c r="O652" s="6" t="s">
        <v>26</v>
      </c>
    </row>
    <row r="653" spans="1:15" x14ac:dyDescent="0.35">
      <c r="A653" t="s">
        <v>1338</v>
      </c>
      <c r="B653" s="1" t="s">
        <v>1339</v>
      </c>
      <c r="C653" s="1" t="s">
        <v>45</v>
      </c>
      <c r="D653" s="1" t="s">
        <v>1</v>
      </c>
      <c r="E653" s="1" t="s">
        <v>41</v>
      </c>
      <c r="F653" s="1" t="s">
        <v>35</v>
      </c>
      <c r="G653" s="1" t="s">
        <v>841</v>
      </c>
      <c r="H653" s="1">
        <v>33</v>
      </c>
      <c r="I653" s="1" t="str">
        <f t="shared" si="10"/>
        <v>31-45</v>
      </c>
      <c r="J653" s="3">
        <v>41043</v>
      </c>
      <c r="K653" s="4">
        <v>88343</v>
      </c>
      <c r="L653" s="5">
        <v>0.17</v>
      </c>
      <c r="M653" s="1" t="s">
        <v>842</v>
      </c>
      <c r="N653" s="1" t="s">
        <v>871</v>
      </c>
      <c r="O653" s="6" t="s">
        <v>26</v>
      </c>
    </row>
    <row r="654" spans="1:15" x14ac:dyDescent="0.35">
      <c r="A654" t="s">
        <v>1340</v>
      </c>
      <c r="B654" s="1" t="s">
        <v>1341</v>
      </c>
      <c r="C654" s="1" t="s">
        <v>144</v>
      </c>
      <c r="D654" s="1" t="s">
        <v>1</v>
      </c>
      <c r="E654" s="1" t="s">
        <v>30</v>
      </c>
      <c r="F654" s="1" t="s">
        <v>35</v>
      </c>
      <c r="G654" s="1" t="s">
        <v>841</v>
      </c>
      <c r="H654" s="1">
        <v>34</v>
      </c>
      <c r="I654" s="1" t="str">
        <f t="shared" si="10"/>
        <v>31-45</v>
      </c>
      <c r="J654" s="3">
        <v>41066</v>
      </c>
      <c r="K654" s="4">
        <v>72126</v>
      </c>
      <c r="L654" s="5">
        <v>0.06</v>
      </c>
      <c r="M654" s="1" t="s">
        <v>842</v>
      </c>
      <c r="N654" s="1" t="s">
        <v>864</v>
      </c>
      <c r="O654" s="6" t="s">
        <v>26</v>
      </c>
    </row>
    <row r="655" spans="1:15" x14ac:dyDescent="0.35">
      <c r="A655" t="s">
        <v>1342</v>
      </c>
      <c r="B655" s="1" t="s">
        <v>1343</v>
      </c>
      <c r="C655" s="1" t="s">
        <v>60</v>
      </c>
      <c r="D655" s="1" t="s">
        <v>56</v>
      </c>
      <c r="E655" s="1" t="s">
        <v>21</v>
      </c>
      <c r="F655" s="1" t="s">
        <v>35</v>
      </c>
      <c r="G655" s="1" t="s">
        <v>833</v>
      </c>
      <c r="H655" s="1">
        <v>33</v>
      </c>
      <c r="I655" s="1" t="str">
        <f t="shared" si="10"/>
        <v>31-45</v>
      </c>
      <c r="J655" s="3">
        <v>41071</v>
      </c>
      <c r="K655" s="4">
        <v>118253</v>
      </c>
      <c r="L655" s="5">
        <v>0.05</v>
      </c>
      <c r="M655" s="1" t="s">
        <v>834</v>
      </c>
      <c r="N655" s="1" t="s">
        <v>849</v>
      </c>
      <c r="O655" s="6" t="s">
        <v>26</v>
      </c>
    </row>
    <row r="656" spans="1:15" x14ac:dyDescent="0.35">
      <c r="A656" t="s">
        <v>1344</v>
      </c>
      <c r="B656" s="1" t="s">
        <v>1345</v>
      </c>
      <c r="C656" s="1" t="s">
        <v>45</v>
      </c>
      <c r="D656" s="1" t="s">
        <v>61</v>
      </c>
      <c r="E656" s="1" t="s">
        <v>21</v>
      </c>
      <c r="F656" s="1" t="s">
        <v>35</v>
      </c>
      <c r="G656" s="1" t="s">
        <v>833</v>
      </c>
      <c r="H656" s="1">
        <v>34</v>
      </c>
      <c r="I656" s="1" t="str">
        <f t="shared" si="10"/>
        <v>31-45</v>
      </c>
      <c r="J656" s="3">
        <v>41085</v>
      </c>
      <c r="K656" s="4">
        <v>83066</v>
      </c>
      <c r="L656" s="5">
        <v>0.09</v>
      </c>
      <c r="M656" s="1" t="s">
        <v>834</v>
      </c>
      <c r="N656" s="1" t="s">
        <v>846</v>
      </c>
      <c r="O656" s="6">
        <v>41430</v>
      </c>
    </row>
    <row r="657" spans="1:15" x14ac:dyDescent="0.35">
      <c r="A657" t="s">
        <v>1346</v>
      </c>
      <c r="B657" s="1" t="s">
        <v>1347</v>
      </c>
      <c r="C657" s="1" t="s">
        <v>60</v>
      </c>
      <c r="D657" s="1" t="s">
        <v>56</v>
      </c>
      <c r="E657" s="1" t="s">
        <v>30</v>
      </c>
      <c r="F657" s="1" t="s">
        <v>22</v>
      </c>
      <c r="G657" s="1" t="s">
        <v>833</v>
      </c>
      <c r="H657" s="1">
        <v>45</v>
      </c>
      <c r="I657" s="1" t="str">
        <f t="shared" si="10"/>
        <v>31-45</v>
      </c>
      <c r="J657" s="3">
        <v>41099</v>
      </c>
      <c r="K657" s="4">
        <v>109883</v>
      </c>
      <c r="L657" s="5">
        <v>0.05</v>
      </c>
      <c r="M657" s="1" t="s">
        <v>834</v>
      </c>
      <c r="N657" s="1" t="s">
        <v>855</v>
      </c>
      <c r="O657" s="6" t="s">
        <v>26</v>
      </c>
    </row>
    <row r="658" spans="1:15" x14ac:dyDescent="0.35">
      <c r="A658" t="s">
        <v>1348</v>
      </c>
      <c r="B658" s="1" t="s">
        <v>1349</v>
      </c>
      <c r="C658" s="1" t="s">
        <v>60</v>
      </c>
      <c r="D658" s="1" t="s">
        <v>1</v>
      </c>
      <c r="E658" s="1" t="s">
        <v>21</v>
      </c>
      <c r="F658" s="1" t="s">
        <v>22</v>
      </c>
      <c r="G658" s="1" t="s">
        <v>841</v>
      </c>
      <c r="H658" s="1">
        <v>36</v>
      </c>
      <c r="I658" s="1" t="str">
        <f t="shared" si="10"/>
        <v>31-45</v>
      </c>
      <c r="J658" s="3">
        <v>41116</v>
      </c>
      <c r="K658" s="4">
        <v>105891</v>
      </c>
      <c r="L658" s="5">
        <v>7.0000000000000007E-2</v>
      </c>
      <c r="M658" s="1" t="s">
        <v>834</v>
      </c>
      <c r="N658" s="1" t="s">
        <v>934</v>
      </c>
      <c r="O658" s="6" t="s">
        <v>26</v>
      </c>
    </row>
    <row r="659" spans="1:15" x14ac:dyDescent="0.35">
      <c r="A659" t="s">
        <v>1350</v>
      </c>
      <c r="B659" s="1" t="s">
        <v>1351</v>
      </c>
      <c r="C659" s="1" t="s">
        <v>144</v>
      </c>
      <c r="D659" s="1" t="s">
        <v>80</v>
      </c>
      <c r="E659" s="1" t="s">
        <v>21</v>
      </c>
      <c r="F659" s="1" t="s">
        <v>35</v>
      </c>
      <c r="G659" s="1" t="s">
        <v>841</v>
      </c>
      <c r="H659" s="1">
        <v>45</v>
      </c>
      <c r="I659" s="1" t="str">
        <f t="shared" si="10"/>
        <v>31-45</v>
      </c>
      <c r="J659" s="3">
        <v>41127</v>
      </c>
      <c r="K659" s="4">
        <v>58586</v>
      </c>
      <c r="L659" s="5">
        <v>0.13</v>
      </c>
      <c r="M659" s="1" t="s">
        <v>842</v>
      </c>
      <c r="N659" s="1" t="s">
        <v>843</v>
      </c>
      <c r="O659" s="6" t="s">
        <v>26</v>
      </c>
    </row>
    <row r="660" spans="1:15" x14ac:dyDescent="0.35">
      <c r="A660" t="s">
        <v>1352</v>
      </c>
      <c r="B660" s="1" t="s">
        <v>1353</v>
      </c>
      <c r="C660" s="1" t="s">
        <v>110</v>
      </c>
      <c r="D660" s="1" t="s">
        <v>187</v>
      </c>
      <c r="E660" s="1" t="s">
        <v>73</v>
      </c>
      <c r="F660" s="1" t="s">
        <v>35</v>
      </c>
      <c r="G660" s="1" t="s">
        <v>833</v>
      </c>
      <c r="H660" s="1">
        <v>41</v>
      </c>
      <c r="I660" s="1" t="str">
        <f t="shared" si="10"/>
        <v>31-45</v>
      </c>
      <c r="J660" s="3">
        <v>41130</v>
      </c>
      <c r="K660" s="4">
        <v>245360</v>
      </c>
      <c r="L660" s="5">
        <v>0.14000000000000001</v>
      </c>
      <c r="M660" s="1" t="s">
        <v>834</v>
      </c>
      <c r="N660" s="1" t="s">
        <v>849</v>
      </c>
      <c r="O660" s="6" t="s">
        <v>26</v>
      </c>
    </row>
    <row r="661" spans="1:15" x14ac:dyDescent="0.35">
      <c r="A661" t="s">
        <v>1354</v>
      </c>
      <c r="B661" s="1" t="s">
        <v>1355</v>
      </c>
      <c r="C661" s="1" t="s">
        <v>234</v>
      </c>
      <c r="D661" s="1" t="s">
        <v>20</v>
      </c>
      <c r="E661" s="1" t="s">
        <v>21</v>
      </c>
      <c r="F661" s="1" t="s">
        <v>22</v>
      </c>
      <c r="G661" s="1" t="s">
        <v>833</v>
      </c>
      <c r="H661" s="1">
        <v>52</v>
      </c>
      <c r="I661" s="1" t="str">
        <f t="shared" si="10"/>
        <v>46-60</v>
      </c>
      <c r="J661" s="3">
        <v>41199</v>
      </c>
      <c r="K661" s="4">
        <v>71476</v>
      </c>
      <c r="L661" s="5">
        <v>0.09</v>
      </c>
      <c r="M661" s="1" t="s">
        <v>834</v>
      </c>
      <c r="N661" s="1" t="s">
        <v>835</v>
      </c>
      <c r="O661" s="6" t="s">
        <v>26</v>
      </c>
    </row>
    <row r="662" spans="1:15" x14ac:dyDescent="0.35">
      <c r="A662" t="s">
        <v>1356</v>
      </c>
      <c r="B662" s="1" t="s">
        <v>1357</v>
      </c>
      <c r="C662" s="1" t="s">
        <v>446</v>
      </c>
      <c r="D662" s="1" t="s">
        <v>20</v>
      </c>
      <c r="E662" s="1" t="s">
        <v>73</v>
      </c>
      <c r="F662" s="1" t="s">
        <v>22</v>
      </c>
      <c r="G662" s="1" t="s">
        <v>841</v>
      </c>
      <c r="H662" s="1">
        <v>54</v>
      </c>
      <c r="I662" s="1" t="str">
        <f t="shared" si="10"/>
        <v>46-60</v>
      </c>
      <c r="J662" s="3">
        <v>41237</v>
      </c>
      <c r="K662" s="4">
        <v>94407</v>
      </c>
      <c r="L662" s="5">
        <v>0.05</v>
      </c>
      <c r="M662" s="1" t="s">
        <v>842</v>
      </c>
      <c r="N662" s="1" t="s">
        <v>843</v>
      </c>
      <c r="O662" s="6" t="s">
        <v>26</v>
      </c>
    </row>
    <row r="663" spans="1:15" x14ac:dyDescent="0.35">
      <c r="A663" t="s">
        <v>1358</v>
      </c>
      <c r="B663" s="1" t="s">
        <v>1359</v>
      </c>
      <c r="C663" s="1" t="s">
        <v>29</v>
      </c>
      <c r="D663" s="1" t="s">
        <v>80</v>
      </c>
      <c r="E663" s="1" t="s">
        <v>30</v>
      </c>
      <c r="F663" s="1" t="s">
        <v>35</v>
      </c>
      <c r="G663" s="1" t="s">
        <v>833</v>
      </c>
      <c r="H663" s="1">
        <v>64</v>
      </c>
      <c r="I663" s="1" t="str">
        <f t="shared" si="10"/>
        <v>&gt;60</v>
      </c>
      <c r="J663" s="3">
        <v>41264</v>
      </c>
      <c r="K663" s="4">
        <v>153253</v>
      </c>
      <c r="L663" s="5">
        <v>0.15</v>
      </c>
      <c r="M663" s="1" t="s">
        <v>834</v>
      </c>
      <c r="N663" s="1" t="s">
        <v>849</v>
      </c>
      <c r="O663" s="6" t="s">
        <v>26</v>
      </c>
    </row>
    <row r="664" spans="1:15" x14ac:dyDescent="0.35">
      <c r="A664" t="s">
        <v>1360</v>
      </c>
      <c r="B664" s="1" t="s">
        <v>1361</v>
      </c>
      <c r="C664" s="1" t="s">
        <v>102</v>
      </c>
      <c r="D664" s="1" t="s">
        <v>3</v>
      </c>
      <c r="E664" s="1" t="s">
        <v>73</v>
      </c>
      <c r="F664" s="1" t="s">
        <v>22</v>
      </c>
      <c r="G664" s="1" t="s">
        <v>841</v>
      </c>
      <c r="H664" s="1">
        <v>33</v>
      </c>
      <c r="I664" s="1" t="str">
        <f t="shared" si="10"/>
        <v>31-45</v>
      </c>
      <c r="J664" s="3">
        <v>41267</v>
      </c>
      <c r="K664" s="4">
        <v>132544</v>
      </c>
      <c r="L664" s="5">
        <v>0.06</v>
      </c>
      <c r="M664" s="1" t="s">
        <v>842</v>
      </c>
      <c r="N664" s="1" t="s">
        <v>871</v>
      </c>
      <c r="O664" s="6" t="s">
        <v>26</v>
      </c>
    </row>
    <row r="665" spans="1:15" x14ac:dyDescent="0.35">
      <c r="A665" t="s">
        <v>1362</v>
      </c>
      <c r="B665" s="1" t="s">
        <v>1363</v>
      </c>
      <c r="C665" s="1" t="s">
        <v>45</v>
      </c>
      <c r="D665" s="1" t="s">
        <v>80</v>
      </c>
      <c r="E665" s="1" t="s">
        <v>30</v>
      </c>
      <c r="F665" s="1" t="s">
        <v>22</v>
      </c>
      <c r="G665" s="1" t="s">
        <v>841</v>
      </c>
      <c r="H665" s="1">
        <v>46</v>
      </c>
      <c r="I665" s="1" t="str">
        <f t="shared" si="10"/>
        <v>46-60</v>
      </c>
      <c r="J665" s="3">
        <v>41294</v>
      </c>
      <c r="K665" s="4">
        <v>86061</v>
      </c>
      <c r="L665" s="5">
        <v>0.14000000000000001</v>
      </c>
      <c r="M665" s="1" t="s">
        <v>842</v>
      </c>
      <c r="N665" s="1" t="s">
        <v>871</v>
      </c>
      <c r="O665" s="6" t="s">
        <v>26</v>
      </c>
    </row>
    <row r="666" spans="1:15" x14ac:dyDescent="0.35">
      <c r="A666" t="s">
        <v>1364</v>
      </c>
      <c r="B666" s="1" t="s">
        <v>1365</v>
      </c>
      <c r="C666" s="1" t="s">
        <v>102</v>
      </c>
      <c r="D666" s="1" t="s">
        <v>187</v>
      </c>
      <c r="E666" s="1" t="s">
        <v>30</v>
      </c>
      <c r="F666" s="1" t="s">
        <v>22</v>
      </c>
      <c r="G666" s="1" t="s">
        <v>833</v>
      </c>
      <c r="H666" s="1">
        <v>33</v>
      </c>
      <c r="I666" s="1" t="str">
        <f t="shared" si="10"/>
        <v>31-45</v>
      </c>
      <c r="J666" s="3">
        <v>41315</v>
      </c>
      <c r="K666" s="4">
        <v>144231</v>
      </c>
      <c r="L666" s="5">
        <v>0.13</v>
      </c>
      <c r="M666" s="1" t="s">
        <v>834</v>
      </c>
      <c r="N666" s="1" t="s">
        <v>855</v>
      </c>
      <c r="O666" s="6">
        <v>44029</v>
      </c>
    </row>
    <row r="667" spans="1:15" x14ac:dyDescent="0.35">
      <c r="A667" t="s">
        <v>1366</v>
      </c>
      <c r="B667" s="1" t="s">
        <v>1367</v>
      </c>
      <c r="C667" s="1" t="s">
        <v>102</v>
      </c>
      <c r="D667" s="1" t="s">
        <v>80</v>
      </c>
      <c r="E667" s="1" t="s">
        <v>41</v>
      </c>
      <c r="F667" s="1" t="s">
        <v>35</v>
      </c>
      <c r="G667" s="1" t="s">
        <v>841</v>
      </c>
      <c r="H667" s="1">
        <v>37</v>
      </c>
      <c r="I667" s="1" t="str">
        <f t="shared" si="10"/>
        <v>31-45</v>
      </c>
      <c r="J667" s="3">
        <v>41329</v>
      </c>
      <c r="K667" s="4">
        <v>157474</v>
      </c>
      <c r="L667" s="5">
        <v>0.16</v>
      </c>
      <c r="M667" s="1" t="s">
        <v>842</v>
      </c>
      <c r="N667" s="1" t="s">
        <v>871</v>
      </c>
      <c r="O667" s="6" t="s">
        <v>26</v>
      </c>
    </row>
    <row r="668" spans="1:15" x14ac:dyDescent="0.35">
      <c r="A668" t="s">
        <v>1368</v>
      </c>
      <c r="B668" s="1" t="s">
        <v>1369</v>
      </c>
      <c r="C668" s="1" t="s">
        <v>2</v>
      </c>
      <c r="D668" s="1" t="s">
        <v>1</v>
      </c>
      <c r="E668" s="1" t="s">
        <v>30</v>
      </c>
      <c r="F668" s="1" t="s">
        <v>22</v>
      </c>
      <c r="G668" s="1" t="s">
        <v>833</v>
      </c>
      <c r="H668" s="1">
        <v>47</v>
      </c>
      <c r="I668" s="1" t="str">
        <f t="shared" si="10"/>
        <v>46-60</v>
      </c>
      <c r="J668" s="3">
        <v>41333</v>
      </c>
      <c r="K668" s="4">
        <v>54635</v>
      </c>
      <c r="L668" s="5">
        <v>0.17</v>
      </c>
      <c r="M668" s="1" t="s">
        <v>834</v>
      </c>
      <c r="N668" s="1" t="s">
        <v>846</v>
      </c>
      <c r="O668" s="6" t="s">
        <v>26</v>
      </c>
    </row>
    <row r="669" spans="1:15" x14ac:dyDescent="0.35">
      <c r="A669" t="s">
        <v>1370</v>
      </c>
      <c r="B669" s="1" t="s">
        <v>1371</v>
      </c>
      <c r="C669" s="1" t="s">
        <v>335</v>
      </c>
      <c r="D669" s="1" t="s">
        <v>3</v>
      </c>
      <c r="E669" s="1" t="s">
        <v>30</v>
      </c>
      <c r="F669" s="1" t="s">
        <v>22</v>
      </c>
      <c r="G669" s="1" t="s">
        <v>841</v>
      </c>
      <c r="H669" s="1">
        <v>32</v>
      </c>
      <c r="I669" s="1" t="str">
        <f t="shared" si="10"/>
        <v>31-45</v>
      </c>
      <c r="J669" s="3">
        <v>41353</v>
      </c>
      <c r="K669" s="4">
        <v>79921</v>
      </c>
      <c r="L669" s="5">
        <v>0.12</v>
      </c>
      <c r="M669" s="1" t="s">
        <v>834</v>
      </c>
      <c r="N669" s="1" t="s">
        <v>849</v>
      </c>
      <c r="O669" s="6" t="s">
        <v>26</v>
      </c>
    </row>
    <row r="670" spans="1:15" x14ac:dyDescent="0.35">
      <c r="A670" t="s">
        <v>1372</v>
      </c>
      <c r="B670" s="1" t="s">
        <v>1373</v>
      </c>
      <c r="C670" s="1" t="s">
        <v>144</v>
      </c>
      <c r="D670" s="1" t="s">
        <v>61</v>
      </c>
      <c r="E670" s="1" t="s">
        <v>73</v>
      </c>
      <c r="F670" s="1" t="s">
        <v>22</v>
      </c>
      <c r="G670" s="1" t="s">
        <v>841</v>
      </c>
      <c r="H670" s="1">
        <v>37</v>
      </c>
      <c r="I670" s="1" t="str">
        <f t="shared" si="10"/>
        <v>31-45</v>
      </c>
      <c r="J670" s="3">
        <v>41363</v>
      </c>
      <c r="K670" s="4">
        <v>69570</v>
      </c>
      <c r="L670" s="5">
        <v>0.12</v>
      </c>
      <c r="M670" s="1" t="s">
        <v>834</v>
      </c>
      <c r="N670" s="1" t="s">
        <v>838</v>
      </c>
      <c r="O670" s="6" t="s">
        <v>26</v>
      </c>
    </row>
    <row r="671" spans="1:15" x14ac:dyDescent="0.35">
      <c r="A671" t="s">
        <v>1374</v>
      </c>
      <c r="B671" s="1" t="s">
        <v>1375</v>
      </c>
      <c r="C671" s="1" t="s">
        <v>102</v>
      </c>
      <c r="D671" s="1" t="s">
        <v>1</v>
      </c>
      <c r="E671" s="1" t="s">
        <v>41</v>
      </c>
      <c r="F671" s="1" t="s">
        <v>35</v>
      </c>
      <c r="G671" s="1" t="s">
        <v>833</v>
      </c>
      <c r="H671" s="1">
        <v>49</v>
      </c>
      <c r="I671" s="1" t="str">
        <f t="shared" si="10"/>
        <v>46-60</v>
      </c>
      <c r="J671" s="3">
        <v>41379</v>
      </c>
      <c r="K671" s="4">
        <v>128303</v>
      </c>
      <c r="L671" s="5">
        <v>0.1</v>
      </c>
      <c r="M671" s="1" t="s">
        <v>834</v>
      </c>
      <c r="N671" s="1" t="s">
        <v>835</v>
      </c>
      <c r="O671" s="6" t="s">
        <v>26</v>
      </c>
    </row>
    <row r="672" spans="1:15" x14ac:dyDescent="0.35">
      <c r="A672" t="s">
        <v>1376</v>
      </c>
      <c r="B672" s="1" t="s">
        <v>1377</v>
      </c>
      <c r="C672" s="1" t="s">
        <v>102</v>
      </c>
      <c r="D672" s="1" t="s">
        <v>56</v>
      </c>
      <c r="E672" s="1" t="s">
        <v>41</v>
      </c>
      <c r="F672" s="1" t="s">
        <v>22</v>
      </c>
      <c r="G672" s="1" t="s">
        <v>833</v>
      </c>
      <c r="H672" s="1">
        <v>42</v>
      </c>
      <c r="I672" s="1" t="str">
        <f t="shared" si="10"/>
        <v>31-45</v>
      </c>
      <c r="J672" s="3">
        <v>41382</v>
      </c>
      <c r="K672" s="4">
        <v>131179</v>
      </c>
      <c r="L672" s="5">
        <v>0.16</v>
      </c>
      <c r="M672" s="1" t="s">
        <v>834</v>
      </c>
      <c r="N672" s="1" t="s">
        <v>855</v>
      </c>
      <c r="O672" s="6" t="s">
        <v>26</v>
      </c>
    </row>
    <row r="673" spans="1:15" x14ac:dyDescent="0.35">
      <c r="A673" t="s">
        <v>1378</v>
      </c>
      <c r="B673" s="1" t="s">
        <v>1379</v>
      </c>
      <c r="C673" s="1" t="s">
        <v>540</v>
      </c>
      <c r="D673" s="1" t="s">
        <v>20</v>
      </c>
      <c r="E673" s="1" t="s">
        <v>21</v>
      </c>
      <c r="F673" s="1" t="s">
        <v>35</v>
      </c>
      <c r="G673" s="1" t="s">
        <v>833</v>
      </c>
      <c r="H673" s="1">
        <v>45</v>
      </c>
      <c r="I673" s="1" t="str">
        <f t="shared" si="10"/>
        <v>31-45</v>
      </c>
      <c r="J673" s="3">
        <v>41386</v>
      </c>
      <c r="K673" s="4">
        <v>61773</v>
      </c>
      <c r="L673" s="5">
        <v>7.0000000000000007E-2</v>
      </c>
      <c r="M673" s="1" t="s">
        <v>834</v>
      </c>
      <c r="N673" s="1" t="s">
        <v>934</v>
      </c>
      <c r="O673" s="6" t="s">
        <v>26</v>
      </c>
    </row>
    <row r="674" spans="1:15" x14ac:dyDescent="0.35">
      <c r="A674" t="s">
        <v>1380</v>
      </c>
      <c r="B674" s="1" t="s">
        <v>1381</v>
      </c>
      <c r="C674" s="1" t="s">
        <v>34</v>
      </c>
      <c r="D674" s="1" t="s">
        <v>3</v>
      </c>
      <c r="E674" s="1" t="s">
        <v>41</v>
      </c>
      <c r="F674" s="1" t="s">
        <v>35</v>
      </c>
      <c r="G674" s="1" t="s">
        <v>841</v>
      </c>
      <c r="H674" s="1">
        <v>35</v>
      </c>
      <c r="I674" s="1" t="str">
        <f t="shared" si="10"/>
        <v>31-45</v>
      </c>
      <c r="J674" s="3">
        <v>41409</v>
      </c>
      <c r="K674" s="4">
        <v>78940</v>
      </c>
      <c r="L674" s="5">
        <v>0.06</v>
      </c>
      <c r="M674" s="1" t="s">
        <v>834</v>
      </c>
      <c r="N674" s="1" t="s">
        <v>838</v>
      </c>
      <c r="O674" s="6" t="s">
        <v>26</v>
      </c>
    </row>
    <row r="675" spans="1:15" x14ac:dyDescent="0.35">
      <c r="A675" t="s">
        <v>1382</v>
      </c>
      <c r="B675" s="1" t="s">
        <v>1383</v>
      </c>
      <c r="C675" s="1" t="s">
        <v>335</v>
      </c>
      <c r="D675" s="1" t="s">
        <v>3</v>
      </c>
      <c r="E675" s="1" t="s">
        <v>21</v>
      </c>
      <c r="F675" s="1" t="s">
        <v>22</v>
      </c>
      <c r="G675" s="1" t="s">
        <v>833</v>
      </c>
      <c r="H675" s="1">
        <v>52</v>
      </c>
      <c r="I675" s="1" t="str">
        <f t="shared" si="10"/>
        <v>46-60</v>
      </c>
      <c r="J675" s="3">
        <v>41417</v>
      </c>
      <c r="K675" s="4">
        <v>99557</v>
      </c>
      <c r="L675" s="5">
        <v>0.11</v>
      </c>
      <c r="M675" s="1" t="s">
        <v>834</v>
      </c>
      <c r="N675" s="1" t="s">
        <v>934</v>
      </c>
      <c r="O675" s="6" t="s">
        <v>26</v>
      </c>
    </row>
    <row r="676" spans="1:15" x14ac:dyDescent="0.35">
      <c r="A676" t="s">
        <v>1384</v>
      </c>
      <c r="B676" s="1" t="s">
        <v>1385</v>
      </c>
      <c r="C676" s="1" t="s">
        <v>29</v>
      </c>
      <c r="D676" s="1" t="s">
        <v>187</v>
      </c>
      <c r="E676" s="1" t="s">
        <v>73</v>
      </c>
      <c r="F676" s="1" t="s">
        <v>22</v>
      </c>
      <c r="G676" s="1" t="s">
        <v>833</v>
      </c>
      <c r="H676" s="1">
        <v>41</v>
      </c>
      <c r="I676" s="1" t="str">
        <f t="shared" si="10"/>
        <v>31-45</v>
      </c>
      <c r="J676" s="3">
        <v>41429</v>
      </c>
      <c r="K676" s="4">
        <v>167526</v>
      </c>
      <c r="L676" s="5">
        <v>7.0000000000000007E-2</v>
      </c>
      <c r="M676" s="1" t="s">
        <v>834</v>
      </c>
      <c r="N676" s="1" t="s">
        <v>838</v>
      </c>
      <c r="O676" s="6" t="s">
        <v>26</v>
      </c>
    </row>
    <row r="677" spans="1:15" x14ac:dyDescent="0.35">
      <c r="A677" t="s">
        <v>1386</v>
      </c>
      <c r="B677" s="1" t="s">
        <v>1387</v>
      </c>
      <c r="C677" s="1" t="s">
        <v>60</v>
      </c>
      <c r="D677" s="1" t="s">
        <v>80</v>
      </c>
      <c r="E677" s="1" t="s">
        <v>73</v>
      </c>
      <c r="F677" s="1" t="s">
        <v>35</v>
      </c>
      <c r="G677" s="1" t="s">
        <v>841</v>
      </c>
      <c r="H677" s="1">
        <v>51</v>
      </c>
      <c r="I677" s="1" t="str">
        <f t="shared" si="10"/>
        <v>46-60</v>
      </c>
      <c r="J677" s="3">
        <v>41439</v>
      </c>
      <c r="K677" s="4">
        <v>108221</v>
      </c>
      <c r="L677" s="5">
        <v>0.05</v>
      </c>
      <c r="M677" s="1" t="s">
        <v>842</v>
      </c>
      <c r="N677" s="1" t="s">
        <v>864</v>
      </c>
      <c r="O677" s="6" t="s">
        <v>26</v>
      </c>
    </row>
    <row r="678" spans="1:15" x14ac:dyDescent="0.35">
      <c r="A678" t="s">
        <v>1388</v>
      </c>
      <c r="B678" s="1" t="s">
        <v>1389</v>
      </c>
      <c r="C678" s="1" t="s">
        <v>60</v>
      </c>
      <c r="D678" s="1" t="s">
        <v>1</v>
      </c>
      <c r="E678" s="1" t="s">
        <v>73</v>
      </c>
      <c r="F678" s="1" t="s">
        <v>22</v>
      </c>
      <c r="G678" s="1" t="s">
        <v>833</v>
      </c>
      <c r="H678" s="1">
        <v>33</v>
      </c>
      <c r="I678" s="1" t="str">
        <f t="shared" si="10"/>
        <v>31-45</v>
      </c>
      <c r="J678" s="3">
        <v>41446</v>
      </c>
      <c r="K678" s="4">
        <v>119631</v>
      </c>
      <c r="L678" s="5">
        <v>0.13</v>
      </c>
      <c r="M678" s="1" t="s">
        <v>834</v>
      </c>
      <c r="N678" s="1" t="s">
        <v>835</v>
      </c>
      <c r="O678" s="6" t="s">
        <v>26</v>
      </c>
    </row>
    <row r="679" spans="1:15" x14ac:dyDescent="0.35">
      <c r="A679" t="s">
        <v>1390</v>
      </c>
      <c r="B679" s="1" t="s">
        <v>1391</v>
      </c>
      <c r="C679" s="1" t="s">
        <v>102</v>
      </c>
      <c r="D679" s="1" t="s">
        <v>80</v>
      </c>
      <c r="E679" s="1" t="s">
        <v>73</v>
      </c>
      <c r="F679" s="1" t="s">
        <v>22</v>
      </c>
      <c r="G679" s="1" t="s">
        <v>852</v>
      </c>
      <c r="H679" s="1">
        <v>64</v>
      </c>
      <c r="I679" s="1" t="str">
        <f t="shared" si="10"/>
        <v>&gt;60</v>
      </c>
      <c r="J679" s="3">
        <v>41454</v>
      </c>
      <c r="K679" s="4">
        <v>159571</v>
      </c>
      <c r="L679" s="5">
        <v>0.13</v>
      </c>
      <c r="M679" s="1" t="s">
        <v>834</v>
      </c>
      <c r="N679" s="1" t="s">
        <v>855</v>
      </c>
      <c r="O679" s="6" t="s">
        <v>26</v>
      </c>
    </row>
    <row r="680" spans="1:15" x14ac:dyDescent="0.35">
      <c r="A680" t="s">
        <v>1392</v>
      </c>
      <c r="B680" s="1" t="s">
        <v>1393</v>
      </c>
      <c r="C680" s="1" t="s">
        <v>102</v>
      </c>
      <c r="D680" s="1" t="s">
        <v>1</v>
      </c>
      <c r="E680" s="1" t="s">
        <v>30</v>
      </c>
      <c r="F680" s="1" t="s">
        <v>35</v>
      </c>
      <c r="G680" s="1" t="s">
        <v>833</v>
      </c>
      <c r="H680" s="1">
        <v>46</v>
      </c>
      <c r="I680" s="1" t="str">
        <f t="shared" si="10"/>
        <v>46-60</v>
      </c>
      <c r="J680" s="3">
        <v>41473</v>
      </c>
      <c r="K680" s="4">
        <v>149712</v>
      </c>
      <c r="L680" s="5">
        <v>7.0000000000000007E-2</v>
      </c>
      <c r="M680" s="1" t="s">
        <v>834</v>
      </c>
      <c r="N680" s="1" t="s">
        <v>855</v>
      </c>
      <c r="O680" s="6" t="s">
        <v>26</v>
      </c>
    </row>
    <row r="681" spans="1:15" x14ac:dyDescent="0.35">
      <c r="A681" t="s">
        <v>1394</v>
      </c>
      <c r="B681" s="1" t="s">
        <v>1395</v>
      </c>
      <c r="C681" s="1" t="s">
        <v>110</v>
      </c>
      <c r="D681" s="1" t="s">
        <v>56</v>
      </c>
      <c r="E681" s="1" t="s">
        <v>73</v>
      </c>
      <c r="F681" s="1" t="s">
        <v>22</v>
      </c>
      <c r="G681" s="1" t="s">
        <v>852</v>
      </c>
      <c r="H681" s="1">
        <v>45</v>
      </c>
      <c r="I681" s="1" t="str">
        <f t="shared" si="10"/>
        <v>31-45</v>
      </c>
      <c r="J681" s="3">
        <v>41493</v>
      </c>
      <c r="K681" s="4">
        <v>236946</v>
      </c>
      <c r="L681" s="5">
        <v>7.0000000000000007E-2</v>
      </c>
      <c r="M681" s="1" t="s">
        <v>834</v>
      </c>
      <c r="N681" s="1" t="s">
        <v>934</v>
      </c>
      <c r="O681" s="6" t="s">
        <v>26</v>
      </c>
    </row>
    <row r="682" spans="1:15" x14ac:dyDescent="0.35">
      <c r="A682" t="s">
        <v>1396</v>
      </c>
      <c r="B682" s="1" t="s">
        <v>1397</v>
      </c>
      <c r="C682" s="1" t="s">
        <v>60</v>
      </c>
      <c r="D682" s="1" t="s">
        <v>56</v>
      </c>
      <c r="E682" s="1" t="s">
        <v>41</v>
      </c>
      <c r="F682" s="1" t="s">
        <v>22</v>
      </c>
      <c r="G682" s="1" t="s">
        <v>841</v>
      </c>
      <c r="H682" s="1">
        <v>34</v>
      </c>
      <c r="I682" s="1" t="str">
        <f t="shared" si="10"/>
        <v>31-45</v>
      </c>
      <c r="J682" s="3">
        <v>41499</v>
      </c>
      <c r="K682" s="4">
        <v>113909</v>
      </c>
      <c r="L682" s="5">
        <v>0.15</v>
      </c>
      <c r="M682" s="1" t="s">
        <v>842</v>
      </c>
      <c r="N682" s="1" t="s">
        <v>871</v>
      </c>
      <c r="O682" s="6" t="s">
        <v>26</v>
      </c>
    </row>
    <row r="683" spans="1:15" x14ac:dyDescent="0.35">
      <c r="A683" t="s">
        <v>1398</v>
      </c>
      <c r="B683" s="1" t="s">
        <v>1399</v>
      </c>
      <c r="C683" s="1" t="s">
        <v>110</v>
      </c>
      <c r="D683" s="1" t="s">
        <v>187</v>
      </c>
      <c r="E683" s="1" t="s">
        <v>73</v>
      </c>
      <c r="F683" s="1" t="s">
        <v>22</v>
      </c>
      <c r="G683" s="1" t="s">
        <v>833</v>
      </c>
      <c r="H683" s="1">
        <v>41</v>
      </c>
      <c r="I683" s="1" t="str">
        <f t="shared" si="10"/>
        <v>31-45</v>
      </c>
      <c r="J683" s="3">
        <v>41503</v>
      </c>
      <c r="K683" s="4">
        <v>235619</v>
      </c>
      <c r="L683" s="5">
        <v>0.1</v>
      </c>
      <c r="M683" s="1" t="s">
        <v>834</v>
      </c>
      <c r="N683" s="1" t="s">
        <v>934</v>
      </c>
      <c r="O683" s="6" t="s">
        <v>26</v>
      </c>
    </row>
    <row r="684" spans="1:15" x14ac:dyDescent="0.35">
      <c r="A684" t="s">
        <v>1400</v>
      </c>
      <c r="B684" s="1" t="s">
        <v>1401</v>
      </c>
      <c r="C684" s="1" t="s">
        <v>60</v>
      </c>
      <c r="D684" s="1" t="s">
        <v>56</v>
      </c>
      <c r="E684" s="1" t="s">
        <v>73</v>
      </c>
      <c r="F684" s="1" t="s">
        <v>35</v>
      </c>
      <c r="G684" s="1" t="s">
        <v>852</v>
      </c>
      <c r="H684" s="1">
        <v>33</v>
      </c>
      <c r="I684" s="1" t="str">
        <f t="shared" si="10"/>
        <v>31-45</v>
      </c>
      <c r="J684" s="3">
        <v>41507</v>
      </c>
      <c r="K684" s="4">
        <v>105390</v>
      </c>
      <c r="L684" s="5">
        <v>0.08</v>
      </c>
      <c r="M684" s="1" t="s">
        <v>834</v>
      </c>
      <c r="N684" s="1" t="s">
        <v>855</v>
      </c>
      <c r="O684" s="6" t="s">
        <v>26</v>
      </c>
    </row>
    <row r="685" spans="1:15" x14ac:dyDescent="0.35">
      <c r="A685" t="s">
        <v>1402</v>
      </c>
      <c r="B685" s="1" t="s">
        <v>1403</v>
      </c>
      <c r="C685" s="1" t="s">
        <v>110</v>
      </c>
      <c r="D685" s="1" t="s">
        <v>1</v>
      </c>
      <c r="E685" s="1" t="s">
        <v>21</v>
      </c>
      <c r="F685" s="1" t="s">
        <v>35</v>
      </c>
      <c r="G685" s="1" t="s">
        <v>841</v>
      </c>
      <c r="H685" s="1">
        <v>42</v>
      </c>
      <c r="I685" s="1" t="str">
        <f t="shared" si="10"/>
        <v>31-45</v>
      </c>
      <c r="J685" s="3">
        <v>41528</v>
      </c>
      <c r="K685" s="4">
        <v>181452</v>
      </c>
      <c r="L685" s="5">
        <v>0.13</v>
      </c>
      <c r="M685" s="1" t="s">
        <v>834</v>
      </c>
      <c r="N685" s="1" t="s">
        <v>855</v>
      </c>
      <c r="O685" s="6" t="s">
        <v>26</v>
      </c>
    </row>
    <row r="686" spans="1:15" x14ac:dyDescent="0.35">
      <c r="A686" t="s">
        <v>1404</v>
      </c>
      <c r="B686" s="1" t="s">
        <v>1405</v>
      </c>
      <c r="C686" s="1" t="s">
        <v>274</v>
      </c>
      <c r="D686" s="1" t="s">
        <v>3</v>
      </c>
      <c r="E686" s="1" t="s">
        <v>41</v>
      </c>
      <c r="F686" s="1" t="s">
        <v>22</v>
      </c>
      <c r="G686" s="1" t="s">
        <v>833</v>
      </c>
      <c r="H686" s="1">
        <v>55</v>
      </c>
      <c r="I686" s="1" t="str">
        <f t="shared" si="10"/>
        <v>46-60</v>
      </c>
      <c r="J686" s="3">
        <v>41565</v>
      </c>
      <c r="K686" s="4">
        <v>70334</v>
      </c>
      <c r="L686" s="5">
        <v>0.17</v>
      </c>
      <c r="M686" s="1" t="s">
        <v>834</v>
      </c>
      <c r="N686" s="1" t="s">
        <v>838</v>
      </c>
      <c r="O686" s="6" t="s">
        <v>26</v>
      </c>
    </row>
    <row r="687" spans="1:15" x14ac:dyDescent="0.35">
      <c r="A687" t="s">
        <v>1406</v>
      </c>
      <c r="B687" s="1" t="s">
        <v>1407</v>
      </c>
      <c r="C687" s="1" t="s">
        <v>29</v>
      </c>
      <c r="D687" s="1" t="s">
        <v>3</v>
      </c>
      <c r="E687" s="1" t="s">
        <v>30</v>
      </c>
      <c r="F687" s="1" t="s">
        <v>22</v>
      </c>
      <c r="G687" s="1" t="s">
        <v>833</v>
      </c>
      <c r="H687" s="1">
        <v>64</v>
      </c>
      <c r="I687" s="1" t="str">
        <f t="shared" si="10"/>
        <v>&gt;60</v>
      </c>
      <c r="J687" s="3">
        <v>41581</v>
      </c>
      <c r="K687" s="4">
        <v>186503</v>
      </c>
      <c r="L687" s="5">
        <v>0.08</v>
      </c>
      <c r="M687" s="1" t="s">
        <v>834</v>
      </c>
      <c r="N687" s="1" t="s">
        <v>855</v>
      </c>
      <c r="O687" s="6" t="s">
        <v>26</v>
      </c>
    </row>
    <row r="688" spans="1:15" x14ac:dyDescent="0.35">
      <c r="A688" t="s">
        <v>1408</v>
      </c>
      <c r="B688" s="1" t="s">
        <v>1409</v>
      </c>
      <c r="C688" s="1" t="s">
        <v>45</v>
      </c>
      <c r="D688" s="1" t="s">
        <v>61</v>
      </c>
      <c r="E688" s="1" t="s">
        <v>30</v>
      </c>
      <c r="F688" s="1" t="s">
        <v>35</v>
      </c>
      <c r="G688" s="1" t="s">
        <v>841</v>
      </c>
      <c r="H688" s="1">
        <v>32</v>
      </c>
      <c r="I688" s="1" t="str">
        <f t="shared" si="10"/>
        <v>31-45</v>
      </c>
      <c r="J688" s="3">
        <v>41590</v>
      </c>
      <c r="K688" s="4">
        <v>88895</v>
      </c>
      <c r="L688" s="5">
        <v>0.14000000000000001</v>
      </c>
      <c r="M688" s="1" t="s">
        <v>834</v>
      </c>
      <c r="N688" s="1" t="s">
        <v>846</v>
      </c>
      <c r="O688" s="6" t="s">
        <v>26</v>
      </c>
    </row>
    <row r="689" spans="1:15" x14ac:dyDescent="0.35">
      <c r="A689" t="s">
        <v>1410</v>
      </c>
      <c r="B689" s="1" t="s">
        <v>1411</v>
      </c>
      <c r="C689" s="1" t="s">
        <v>102</v>
      </c>
      <c r="D689" s="1" t="s">
        <v>1</v>
      </c>
      <c r="E689" s="1" t="s">
        <v>30</v>
      </c>
      <c r="F689" s="1" t="s">
        <v>22</v>
      </c>
      <c r="G689" s="1" t="s">
        <v>841</v>
      </c>
      <c r="H689" s="1">
        <v>55</v>
      </c>
      <c r="I689" s="1" t="str">
        <f t="shared" si="10"/>
        <v>46-60</v>
      </c>
      <c r="J689" s="3">
        <v>41594</v>
      </c>
      <c r="K689" s="4">
        <v>124129</v>
      </c>
      <c r="L689" s="5">
        <v>0.05</v>
      </c>
      <c r="M689" s="1" t="s">
        <v>842</v>
      </c>
      <c r="N689" s="1" t="s">
        <v>843</v>
      </c>
      <c r="O689" s="6" t="s">
        <v>26</v>
      </c>
    </row>
    <row r="690" spans="1:15" x14ac:dyDescent="0.35">
      <c r="A690" t="s">
        <v>1412</v>
      </c>
      <c r="B690" s="1" t="s">
        <v>1413</v>
      </c>
      <c r="C690" s="1" t="s">
        <v>60</v>
      </c>
      <c r="D690" s="1" t="s">
        <v>61</v>
      </c>
      <c r="E690" s="1" t="s">
        <v>73</v>
      </c>
      <c r="F690" s="1" t="s">
        <v>35</v>
      </c>
      <c r="G690" s="1" t="s">
        <v>833</v>
      </c>
      <c r="H690" s="1">
        <v>53</v>
      </c>
      <c r="I690" s="1" t="str">
        <f t="shared" si="10"/>
        <v>46-60</v>
      </c>
      <c r="J690" s="3">
        <v>41601</v>
      </c>
      <c r="K690" s="4">
        <v>113135</v>
      </c>
      <c r="L690" s="5">
        <v>0.16</v>
      </c>
      <c r="M690" s="1" t="s">
        <v>834</v>
      </c>
      <c r="N690" s="1" t="s">
        <v>849</v>
      </c>
      <c r="O690" s="6" t="s">
        <v>26</v>
      </c>
    </row>
    <row r="691" spans="1:15" x14ac:dyDescent="0.35">
      <c r="A691" t="s">
        <v>1414</v>
      </c>
      <c r="B691" s="1" t="s">
        <v>1415</v>
      </c>
      <c r="C691" s="1" t="s">
        <v>29</v>
      </c>
      <c r="D691" s="1" t="s">
        <v>1</v>
      </c>
      <c r="E691" s="1" t="s">
        <v>21</v>
      </c>
      <c r="F691" s="1" t="s">
        <v>22</v>
      </c>
      <c r="G691" s="1" t="s">
        <v>841</v>
      </c>
      <c r="H691" s="1">
        <v>39</v>
      </c>
      <c r="I691" s="1" t="str">
        <f t="shared" si="10"/>
        <v>31-45</v>
      </c>
      <c r="J691" s="3">
        <v>41635</v>
      </c>
      <c r="K691" s="4">
        <v>165756</v>
      </c>
      <c r="L691" s="5">
        <v>0.06</v>
      </c>
      <c r="M691" s="1" t="s">
        <v>834</v>
      </c>
      <c r="N691" s="1" t="s">
        <v>855</v>
      </c>
      <c r="O691" s="6">
        <v>43991</v>
      </c>
    </row>
    <row r="692" spans="1:15" x14ac:dyDescent="0.35">
      <c r="A692" t="s">
        <v>1416</v>
      </c>
      <c r="B692" s="1" t="s">
        <v>1417</v>
      </c>
      <c r="C692" s="1" t="s">
        <v>60</v>
      </c>
      <c r="D692" s="1" t="s">
        <v>3</v>
      </c>
      <c r="E692" s="1" t="s">
        <v>30</v>
      </c>
      <c r="F692" s="1" t="s">
        <v>22</v>
      </c>
      <c r="G692" s="1" t="s">
        <v>833</v>
      </c>
      <c r="H692" s="1">
        <v>32</v>
      </c>
      <c r="I692" s="1" t="str">
        <f t="shared" si="10"/>
        <v>31-45</v>
      </c>
      <c r="J692" s="3">
        <v>41642</v>
      </c>
      <c r="K692" s="4">
        <v>127148</v>
      </c>
      <c r="L692" s="5">
        <v>0.09</v>
      </c>
      <c r="M692" s="1" t="s">
        <v>834</v>
      </c>
      <c r="N692" s="1" t="s">
        <v>838</v>
      </c>
      <c r="O692" s="6" t="s">
        <v>26</v>
      </c>
    </row>
    <row r="693" spans="1:15" x14ac:dyDescent="0.35">
      <c r="A693" t="s">
        <v>1418</v>
      </c>
      <c r="B693" s="1" t="s">
        <v>907</v>
      </c>
      <c r="C693" s="1" t="s">
        <v>110</v>
      </c>
      <c r="D693" s="1" t="s">
        <v>80</v>
      </c>
      <c r="E693" s="1" t="s">
        <v>30</v>
      </c>
      <c r="F693" s="1" t="s">
        <v>35</v>
      </c>
      <c r="G693" s="1" t="s">
        <v>833</v>
      </c>
      <c r="H693" s="1">
        <v>36</v>
      </c>
      <c r="I693" s="1" t="str">
        <f t="shared" si="10"/>
        <v>31-45</v>
      </c>
      <c r="J693" s="3">
        <v>41650</v>
      </c>
      <c r="K693" s="4">
        <v>202323</v>
      </c>
      <c r="L693" s="5">
        <v>0.09</v>
      </c>
      <c r="M693" s="1" t="s">
        <v>834</v>
      </c>
      <c r="N693" s="1" t="s">
        <v>846</v>
      </c>
      <c r="O693" s="6" t="s">
        <v>26</v>
      </c>
    </row>
    <row r="694" spans="1:15" x14ac:dyDescent="0.35">
      <c r="A694" t="s">
        <v>1419</v>
      </c>
      <c r="B694" s="1" t="s">
        <v>1420</v>
      </c>
      <c r="C694" s="1" t="s">
        <v>110</v>
      </c>
      <c r="D694" s="1" t="s">
        <v>61</v>
      </c>
      <c r="E694" s="1" t="s">
        <v>30</v>
      </c>
      <c r="F694" s="1" t="s">
        <v>35</v>
      </c>
      <c r="G694" s="1" t="s">
        <v>841</v>
      </c>
      <c r="H694" s="1">
        <v>32</v>
      </c>
      <c r="I694" s="1" t="str">
        <f t="shared" si="10"/>
        <v>31-45</v>
      </c>
      <c r="J694" s="3">
        <v>41675</v>
      </c>
      <c r="K694" s="4">
        <v>203445</v>
      </c>
      <c r="L694" s="5">
        <v>0.14000000000000001</v>
      </c>
      <c r="M694" s="1" t="s">
        <v>842</v>
      </c>
      <c r="N694" s="1" t="s">
        <v>864</v>
      </c>
      <c r="O694" s="6" t="s">
        <v>26</v>
      </c>
    </row>
    <row r="695" spans="1:15" x14ac:dyDescent="0.35">
      <c r="A695" t="s">
        <v>1421</v>
      </c>
      <c r="B695" s="1" t="s">
        <v>1422</v>
      </c>
      <c r="C695" s="1" t="s">
        <v>329</v>
      </c>
      <c r="D695" s="1" t="s">
        <v>3</v>
      </c>
      <c r="E695" s="1" t="s">
        <v>41</v>
      </c>
      <c r="F695" s="1" t="s">
        <v>35</v>
      </c>
      <c r="G695" s="1" t="s">
        <v>833</v>
      </c>
      <c r="H695" s="1">
        <v>32</v>
      </c>
      <c r="I695" s="1" t="str">
        <f t="shared" si="10"/>
        <v>31-45</v>
      </c>
      <c r="J695" s="3">
        <v>41681</v>
      </c>
      <c r="K695" s="4">
        <v>99575</v>
      </c>
      <c r="L695" s="5">
        <v>0.16</v>
      </c>
      <c r="M695" s="1" t="s">
        <v>834</v>
      </c>
      <c r="N695" s="1" t="s">
        <v>849</v>
      </c>
      <c r="O695" s="6" t="s">
        <v>26</v>
      </c>
    </row>
    <row r="696" spans="1:15" x14ac:dyDescent="0.35">
      <c r="A696" t="s">
        <v>1423</v>
      </c>
      <c r="B696" s="1" t="s">
        <v>1424</v>
      </c>
      <c r="C696" s="1" t="s">
        <v>102</v>
      </c>
      <c r="D696" s="1" t="s">
        <v>3</v>
      </c>
      <c r="E696" s="1" t="s">
        <v>41</v>
      </c>
      <c r="F696" s="1" t="s">
        <v>22</v>
      </c>
      <c r="G696" s="1" t="s">
        <v>833</v>
      </c>
      <c r="H696" s="1">
        <v>37</v>
      </c>
      <c r="I696" s="1" t="str">
        <f t="shared" si="10"/>
        <v>31-45</v>
      </c>
      <c r="J696" s="3">
        <v>41695</v>
      </c>
      <c r="K696" s="4">
        <v>128984</v>
      </c>
      <c r="L696" s="5">
        <v>0.09</v>
      </c>
      <c r="M696" s="1" t="s">
        <v>834</v>
      </c>
      <c r="N696" s="1" t="s">
        <v>838</v>
      </c>
      <c r="O696" s="6">
        <v>44317</v>
      </c>
    </row>
    <row r="697" spans="1:15" x14ac:dyDescent="0.35">
      <c r="A697" t="s">
        <v>1425</v>
      </c>
      <c r="B697" s="1" t="s">
        <v>1426</v>
      </c>
      <c r="C697" s="1" t="s">
        <v>137</v>
      </c>
      <c r="D697" s="1" t="s">
        <v>3</v>
      </c>
      <c r="E697" s="1" t="s">
        <v>30</v>
      </c>
      <c r="F697" s="1" t="s">
        <v>22</v>
      </c>
      <c r="G697" s="1" t="s">
        <v>833</v>
      </c>
      <c r="H697" s="1">
        <v>51</v>
      </c>
      <c r="I697" s="1" t="str">
        <f t="shared" si="10"/>
        <v>46-60</v>
      </c>
      <c r="J697" s="3">
        <v>41697</v>
      </c>
      <c r="K697" s="4">
        <v>53929</v>
      </c>
      <c r="L697" s="5">
        <v>0.11</v>
      </c>
      <c r="M697" s="1" t="s">
        <v>834</v>
      </c>
      <c r="N697" s="1" t="s">
        <v>838</v>
      </c>
      <c r="O697" s="6">
        <v>43091</v>
      </c>
    </row>
    <row r="698" spans="1:15" x14ac:dyDescent="0.35">
      <c r="A698" t="s">
        <v>1427</v>
      </c>
      <c r="B698" s="1" t="s">
        <v>1428</v>
      </c>
      <c r="C698" s="1" t="s">
        <v>329</v>
      </c>
      <c r="D698" s="1" t="s">
        <v>3</v>
      </c>
      <c r="E698" s="1" t="s">
        <v>21</v>
      </c>
      <c r="F698" s="1" t="s">
        <v>35</v>
      </c>
      <c r="G698" s="1" t="s">
        <v>833</v>
      </c>
      <c r="H698" s="1">
        <v>49</v>
      </c>
      <c r="I698" s="1" t="str">
        <f t="shared" si="10"/>
        <v>46-60</v>
      </c>
      <c r="J698" s="3">
        <v>41703</v>
      </c>
      <c r="K698" s="4">
        <v>88777</v>
      </c>
      <c r="L698" s="5">
        <v>0.08</v>
      </c>
      <c r="M698" s="1" t="s">
        <v>834</v>
      </c>
      <c r="N698" s="1" t="s">
        <v>846</v>
      </c>
      <c r="O698" s="6" t="s">
        <v>26</v>
      </c>
    </row>
    <row r="699" spans="1:15" x14ac:dyDescent="0.35">
      <c r="A699" t="s">
        <v>1429</v>
      </c>
      <c r="B699" s="1" t="s">
        <v>1430</v>
      </c>
      <c r="C699" s="1" t="s">
        <v>19</v>
      </c>
      <c r="D699" s="1" t="s">
        <v>20</v>
      </c>
      <c r="E699" s="1" t="s">
        <v>73</v>
      </c>
      <c r="F699" s="1" t="s">
        <v>35</v>
      </c>
      <c r="G699" s="1" t="s">
        <v>841</v>
      </c>
      <c r="H699" s="1">
        <v>45</v>
      </c>
      <c r="I699" s="1" t="str">
        <f t="shared" si="10"/>
        <v>31-45</v>
      </c>
      <c r="J699" s="3">
        <v>41712</v>
      </c>
      <c r="K699" s="4">
        <v>113873</v>
      </c>
      <c r="L699" s="5">
        <v>0.14000000000000001</v>
      </c>
      <c r="M699" s="1" t="s">
        <v>842</v>
      </c>
      <c r="N699" s="1" t="s">
        <v>871</v>
      </c>
      <c r="O699" s="6" t="s">
        <v>26</v>
      </c>
    </row>
    <row r="700" spans="1:15" x14ac:dyDescent="0.35">
      <c r="A700" t="s">
        <v>1431</v>
      </c>
      <c r="B700" s="1" t="s">
        <v>1432</v>
      </c>
      <c r="C700" s="1" t="s">
        <v>536</v>
      </c>
      <c r="D700" s="1" t="s">
        <v>3</v>
      </c>
      <c r="E700" s="1" t="s">
        <v>30</v>
      </c>
      <c r="F700" s="1" t="s">
        <v>35</v>
      </c>
      <c r="G700" s="1" t="s">
        <v>841</v>
      </c>
      <c r="H700" s="1">
        <v>59</v>
      </c>
      <c r="I700" s="1" t="str">
        <f t="shared" si="10"/>
        <v>46-60</v>
      </c>
      <c r="J700" s="3">
        <v>41717</v>
      </c>
      <c r="K700" s="4">
        <v>90901</v>
      </c>
      <c r="L700" s="5">
        <v>0.05</v>
      </c>
      <c r="M700" s="1" t="s">
        <v>834</v>
      </c>
      <c r="N700" s="1" t="s">
        <v>934</v>
      </c>
      <c r="O700" s="6" t="s">
        <v>26</v>
      </c>
    </row>
    <row r="701" spans="1:15" x14ac:dyDescent="0.35">
      <c r="A701" t="s">
        <v>1433</v>
      </c>
      <c r="B701" s="1" t="s">
        <v>1434</v>
      </c>
      <c r="C701" s="1" t="s">
        <v>2</v>
      </c>
      <c r="D701" s="1" t="s">
        <v>1</v>
      </c>
      <c r="E701" s="1" t="s">
        <v>73</v>
      </c>
      <c r="F701" s="1" t="s">
        <v>35</v>
      </c>
      <c r="G701" s="1" t="s">
        <v>833</v>
      </c>
      <c r="H701" s="1">
        <v>33</v>
      </c>
      <c r="I701" s="1" t="str">
        <f t="shared" si="10"/>
        <v>31-45</v>
      </c>
      <c r="J701" s="3">
        <v>41742</v>
      </c>
      <c r="K701" s="4">
        <v>46878</v>
      </c>
      <c r="L701" s="5">
        <v>0.11</v>
      </c>
      <c r="M701" s="1" t="s">
        <v>834</v>
      </c>
      <c r="N701" s="1" t="s">
        <v>838</v>
      </c>
      <c r="O701" s="6" t="s">
        <v>26</v>
      </c>
    </row>
    <row r="702" spans="1:15" x14ac:dyDescent="0.35">
      <c r="A702" t="s">
        <v>1435</v>
      </c>
      <c r="B702" s="1" t="s">
        <v>1436</v>
      </c>
      <c r="C702" s="1" t="s">
        <v>106</v>
      </c>
      <c r="D702" s="1" t="s">
        <v>56</v>
      </c>
      <c r="E702" s="1" t="s">
        <v>21</v>
      </c>
      <c r="F702" s="1" t="s">
        <v>35</v>
      </c>
      <c r="G702" s="1" t="s">
        <v>841</v>
      </c>
      <c r="H702" s="1">
        <v>62</v>
      </c>
      <c r="I702" s="1" t="str">
        <f t="shared" si="10"/>
        <v>&gt;60</v>
      </c>
      <c r="J702" s="3">
        <v>41748</v>
      </c>
      <c r="K702" s="4">
        <v>45295</v>
      </c>
      <c r="L702" s="5">
        <v>0.11</v>
      </c>
      <c r="M702" s="1" t="s">
        <v>842</v>
      </c>
      <c r="N702" s="1" t="s">
        <v>843</v>
      </c>
      <c r="O702" s="6" t="s">
        <v>26</v>
      </c>
    </row>
    <row r="703" spans="1:15" x14ac:dyDescent="0.35">
      <c r="A703" t="s">
        <v>1437</v>
      </c>
      <c r="B703" s="1" t="s">
        <v>1438</v>
      </c>
      <c r="C703" s="1" t="s">
        <v>45</v>
      </c>
      <c r="D703" s="1" t="s">
        <v>61</v>
      </c>
      <c r="E703" s="1" t="s">
        <v>41</v>
      </c>
      <c r="F703" s="1" t="s">
        <v>35</v>
      </c>
      <c r="G703" s="1" t="s">
        <v>841</v>
      </c>
      <c r="H703" s="1">
        <v>33</v>
      </c>
      <c r="I703" s="1" t="str">
        <f t="shared" si="10"/>
        <v>31-45</v>
      </c>
      <c r="J703" s="3">
        <v>41756</v>
      </c>
      <c r="K703" s="4">
        <v>75869</v>
      </c>
      <c r="L703" s="5">
        <v>0.12</v>
      </c>
      <c r="M703" s="1" t="s">
        <v>842</v>
      </c>
      <c r="N703" s="1" t="s">
        <v>843</v>
      </c>
      <c r="O703" s="6" t="s">
        <v>26</v>
      </c>
    </row>
    <row r="704" spans="1:15" x14ac:dyDescent="0.35">
      <c r="A704" t="s">
        <v>1439</v>
      </c>
      <c r="B704" s="1" t="s">
        <v>1440</v>
      </c>
      <c r="C704" s="1" t="s">
        <v>162</v>
      </c>
      <c r="D704" s="1" t="s">
        <v>1</v>
      </c>
      <c r="E704" s="1" t="s">
        <v>73</v>
      </c>
      <c r="F704" s="1" t="s">
        <v>35</v>
      </c>
      <c r="G704" s="1" t="s">
        <v>841</v>
      </c>
      <c r="H704" s="1">
        <v>45</v>
      </c>
      <c r="I704" s="1" t="str">
        <f t="shared" si="10"/>
        <v>31-45</v>
      </c>
      <c r="J704" s="3">
        <v>41769</v>
      </c>
      <c r="K704" s="4">
        <v>65047</v>
      </c>
      <c r="L704" s="5">
        <v>0.1</v>
      </c>
      <c r="M704" s="1" t="s">
        <v>842</v>
      </c>
      <c r="N704" s="1" t="s">
        <v>843</v>
      </c>
      <c r="O704" s="6" t="s">
        <v>26</v>
      </c>
    </row>
    <row r="705" spans="1:15" x14ac:dyDescent="0.35">
      <c r="A705" t="s">
        <v>1441</v>
      </c>
      <c r="B705" s="1" t="s">
        <v>1442</v>
      </c>
      <c r="C705" s="1" t="s">
        <v>144</v>
      </c>
      <c r="D705" s="1" t="s">
        <v>1</v>
      </c>
      <c r="E705" s="1" t="s">
        <v>21</v>
      </c>
      <c r="F705" s="1" t="s">
        <v>35</v>
      </c>
      <c r="G705" s="1" t="s">
        <v>841</v>
      </c>
      <c r="H705" s="1">
        <v>48</v>
      </c>
      <c r="I705" s="1" t="str">
        <f t="shared" si="10"/>
        <v>46-60</v>
      </c>
      <c r="J705" s="3">
        <v>41773</v>
      </c>
      <c r="K705" s="4">
        <v>61216</v>
      </c>
      <c r="L705" s="5">
        <v>7.0000000000000007E-2</v>
      </c>
      <c r="M705" s="1" t="s">
        <v>834</v>
      </c>
      <c r="N705" s="1" t="s">
        <v>934</v>
      </c>
      <c r="O705" s="6" t="s">
        <v>26</v>
      </c>
    </row>
    <row r="706" spans="1:15" x14ac:dyDescent="0.35">
      <c r="A706" t="s">
        <v>1443</v>
      </c>
      <c r="B706" s="1" t="s">
        <v>1444</v>
      </c>
      <c r="C706" s="1" t="s">
        <v>65</v>
      </c>
      <c r="D706" s="1" t="s">
        <v>3</v>
      </c>
      <c r="E706" s="1" t="s">
        <v>41</v>
      </c>
      <c r="F706" s="1" t="s">
        <v>35</v>
      </c>
      <c r="G706" s="1" t="s">
        <v>833</v>
      </c>
      <c r="H706" s="1">
        <v>36</v>
      </c>
      <c r="I706" s="1" t="str">
        <f t="shared" si="10"/>
        <v>31-45</v>
      </c>
      <c r="J706" s="3">
        <v>41789</v>
      </c>
      <c r="K706" s="4">
        <v>99080</v>
      </c>
      <c r="L706" s="5">
        <v>0.11</v>
      </c>
      <c r="M706" s="1" t="s">
        <v>834</v>
      </c>
      <c r="N706" s="1" t="s">
        <v>846</v>
      </c>
      <c r="O706" s="6" t="s">
        <v>26</v>
      </c>
    </row>
    <row r="707" spans="1:15" x14ac:dyDescent="0.35">
      <c r="A707" t="s">
        <v>1445</v>
      </c>
      <c r="B707" s="1" t="s">
        <v>1446</v>
      </c>
      <c r="C707" s="1" t="s">
        <v>536</v>
      </c>
      <c r="D707" s="1" t="s">
        <v>3</v>
      </c>
      <c r="E707" s="1" t="s">
        <v>73</v>
      </c>
      <c r="F707" s="1" t="s">
        <v>22</v>
      </c>
      <c r="G707" s="1" t="s">
        <v>841</v>
      </c>
      <c r="H707" s="1">
        <v>57</v>
      </c>
      <c r="I707" s="1" t="str">
        <f t="shared" ref="I707:I770" si="11">IF(H707&gt;=60,"&gt;60",IF(H707&gt;=46,"46-60",IF(H707&gt;=31,"31-45",IF(H707&gt;18,"18-30",""))))</f>
        <v>46-60</v>
      </c>
      <c r="J707" s="3">
        <v>41830</v>
      </c>
      <c r="K707" s="4">
        <v>66649</v>
      </c>
      <c r="L707" s="5">
        <v>0.08</v>
      </c>
      <c r="M707" s="1" t="s">
        <v>842</v>
      </c>
      <c r="N707" s="1" t="s">
        <v>871</v>
      </c>
      <c r="O707" s="6" t="s">
        <v>26</v>
      </c>
    </row>
    <row r="708" spans="1:15" x14ac:dyDescent="0.35">
      <c r="A708" t="s">
        <v>1447</v>
      </c>
      <c r="B708" s="1" t="s">
        <v>1448</v>
      </c>
      <c r="C708" s="1" t="s">
        <v>29</v>
      </c>
      <c r="D708" s="1" t="s">
        <v>20</v>
      </c>
      <c r="E708" s="1" t="s">
        <v>30</v>
      </c>
      <c r="F708" s="1" t="s">
        <v>22</v>
      </c>
      <c r="G708" s="1" t="s">
        <v>841</v>
      </c>
      <c r="H708" s="1">
        <v>46</v>
      </c>
      <c r="I708" s="1" t="str">
        <f t="shared" si="11"/>
        <v>46-60</v>
      </c>
      <c r="J708" s="3">
        <v>41839</v>
      </c>
      <c r="K708" s="4">
        <v>173629</v>
      </c>
      <c r="L708" s="5">
        <v>7.0000000000000007E-2</v>
      </c>
      <c r="M708" s="1" t="s">
        <v>842</v>
      </c>
      <c r="N708" s="1" t="s">
        <v>843</v>
      </c>
      <c r="O708" s="6" t="s">
        <v>26</v>
      </c>
    </row>
    <row r="709" spans="1:15" x14ac:dyDescent="0.35">
      <c r="A709" t="s">
        <v>1449</v>
      </c>
      <c r="B709" s="1" t="s">
        <v>1450</v>
      </c>
      <c r="C709" s="1" t="s">
        <v>169</v>
      </c>
      <c r="D709" s="1" t="s">
        <v>3</v>
      </c>
      <c r="E709" s="1" t="s">
        <v>41</v>
      </c>
      <c r="F709" s="1" t="s">
        <v>35</v>
      </c>
      <c r="G709" s="1" t="s">
        <v>841</v>
      </c>
      <c r="H709" s="1">
        <v>61</v>
      </c>
      <c r="I709" s="1" t="str">
        <f t="shared" si="11"/>
        <v>&gt;60</v>
      </c>
      <c r="J709" s="3">
        <v>41861</v>
      </c>
      <c r="K709" s="4">
        <v>57446</v>
      </c>
      <c r="L709" s="5">
        <v>0.17</v>
      </c>
      <c r="M709" s="1" t="s">
        <v>834</v>
      </c>
      <c r="N709" s="1" t="s">
        <v>835</v>
      </c>
      <c r="O709" s="6" t="s">
        <v>26</v>
      </c>
    </row>
    <row r="710" spans="1:15" x14ac:dyDescent="0.35">
      <c r="A710" t="s">
        <v>1451</v>
      </c>
      <c r="B710" s="1" t="s">
        <v>1452</v>
      </c>
      <c r="C710" s="1" t="s">
        <v>45</v>
      </c>
      <c r="D710" s="1" t="s">
        <v>80</v>
      </c>
      <c r="E710" s="1" t="s">
        <v>30</v>
      </c>
      <c r="F710" s="1" t="s">
        <v>22</v>
      </c>
      <c r="G710" s="1" t="s">
        <v>841</v>
      </c>
      <c r="H710" s="1">
        <v>34</v>
      </c>
      <c r="I710" s="1" t="str">
        <f t="shared" si="11"/>
        <v>31-45</v>
      </c>
      <c r="J710" s="3">
        <v>41886</v>
      </c>
      <c r="K710" s="4">
        <v>95499</v>
      </c>
      <c r="L710" s="5">
        <v>0.11</v>
      </c>
      <c r="M710" s="1" t="s">
        <v>842</v>
      </c>
      <c r="N710" s="1" t="s">
        <v>843</v>
      </c>
      <c r="O710" s="6">
        <v>42958</v>
      </c>
    </row>
    <row r="711" spans="1:15" x14ac:dyDescent="0.35">
      <c r="A711" t="s">
        <v>1453</v>
      </c>
      <c r="B711" s="1" t="s">
        <v>1454</v>
      </c>
      <c r="C711" s="1" t="s">
        <v>40</v>
      </c>
      <c r="D711" s="1" t="s">
        <v>20</v>
      </c>
      <c r="E711" s="1" t="s">
        <v>73</v>
      </c>
      <c r="F711" s="1" t="s">
        <v>35</v>
      </c>
      <c r="G711" s="1" t="s">
        <v>841</v>
      </c>
      <c r="H711" s="1">
        <v>59</v>
      </c>
      <c r="I711" s="1" t="str">
        <f t="shared" si="11"/>
        <v>46-60</v>
      </c>
      <c r="J711" s="3">
        <v>41898</v>
      </c>
      <c r="K711" s="4">
        <v>69578</v>
      </c>
      <c r="L711" s="5">
        <v>0.05</v>
      </c>
      <c r="M711" s="1" t="s">
        <v>842</v>
      </c>
      <c r="N711" s="1" t="s">
        <v>871</v>
      </c>
      <c r="O711" s="6" t="s">
        <v>26</v>
      </c>
    </row>
    <row r="712" spans="1:15" x14ac:dyDescent="0.35">
      <c r="A712" t="s">
        <v>1455</v>
      </c>
      <c r="B712" s="1" t="s">
        <v>1456</v>
      </c>
      <c r="C712" s="1" t="s">
        <v>130</v>
      </c>
      <c r="D712" s="1" t="s">
        <v>20</v>
      </c>
      <c r="E712" s="1" t="s">
        <v>73</v>
      </c>
      <c r="F712" s="1" t="s">
        <v>35</v>
      </c>
      <c r="G712" s="1" t="s">
        <v>833</v>
      </c>
      <c r="H712" s="1">
        <v>48</v>
      </c>
      <c r="I712" s="1" t="str">
        <f t="shared" si="11"/>
        <v>46-60</v>
      </c>
      <c r="J712" s="3">
        <v>41907</v>
      </c>
      <c r="K712" s="4">
        <v>96693</v>
      </c>
      <c r="L712" s="5">
        <v>0.11</v>
      </c>
      <c r="M712" s="1" t="s">
        <v>834</v>
      </c>
      <c r="N712" s="1" t="s">
        <v>846</v>
      </c>
      <c r="O712" s="6" t="s">
        <v>26</v>
      </c>
    </row>
    <row r="713" spans="1:15" x14ac:dyDescent="0.35">
      <c r="A713" t="s">
        <v>1457</v>
      </c>
      <c r="B713" s="1" t="s">
        <v>1458</v>
      </c>
      <c r="C713" s="1" t="s">
        <v>60</v>
      </c>
      <c r="D713" s="1" t="s">
        <v>187</v>
      </c>
      <c r="E713" s="1" t="s">
        <v>41</v>
      </c>
      <c r="F713" s="1" t="s">
        <v>35</v>
      </c>
      <c r="G713" s="1" t="s">
        <v>833</v>
      </c>
      <c r="H713" s="1">
        <v>34</v>
      </c>
      <c r="I713" s="1" t="str">
        <f t="shared" si="11"/>
        <v>31-45</v>
      </c>
      <c r="J713" s="3">
        <v>41915</v>
      </c>
      <c r="K713" s="4">
        <v>103707</v>
      </c>
      <c r="L713" s="5">
        <v>0.11</v>
      </c>
      <c r="M713" s="1" t="s">
        <v>834</v>
      </c>
      <c r="N713" s="1" t="s">
        <v>855</v>
      </c>
      <c r="O713" s="6" t="s">
        <v>26</v>
      </c>
    </row>
    <row r="714" spans="1:15" x14ac:dyDescent="0.35">
      <c r="A714" t="s">
        <v>1459</v>
      </c>
      <c r="B714" s="1" t="s">
        <v>1460</v>
      </c>
      <c r="C714" s="1" t="s">
        <v>60</v>
      </c>
      <c r="D714" s="1" t="s">
        <v>187</v>
      </c>
      <c r="E714" s="1" t="s">
        <v>73</v>
      </c>
      <c r="F714" s="1" t="s">
        <v>35</v>
      </c>
      <c r="G714" s="1" t="s">
        <v>833</v>
      </c>
      <c r="H714" s="1">
        <v>31</v>
      </c>
      <c r="I714" s="1" t="str">
        <f t="shared" si="11"/>
        <v>31-45</v>
      </c>
      <c r="J714" s="3">
        <v>41919</v>
      </c>
      <c r="K714" s="4">
        <v>114911</v>
      </c>
      <c r="L714" s="5">
        <v>0.14000000000000001</v>
      </c>
      <c r="M714" s="1" t="s">
        <v>834</v>
      </c>
      <c r="N714" s="1" t="s">
        <v>846</v>
      </c>
      <c r="O714" s="6" t="s">
        <v>26</v>
      </c>
    </row>
    <row r="715" spans="1:15" x14ac:dyDescent="0.35">
      <c r="A715" t="s">
        <v>1461</v>
      </c>
      <c r="B715" s="1" t="s">
        <v>1462</v>
      </c>
      <c r="C715" s="1" t="s">
        <v>29</v>
      </c>
      <c r="D715" s="1" t="s">
        <v>61</v>
      </c>
      <c r="E715" s="1" t="s">
        <v>21</v>
      </c>
      <c r="F715" s="1" t="s">
        <v>35</v>
      </c>
      <c r="G715" s="1" t="s">
        <v>841</v>
      </c>
      <c r="H715" s="1">
        <v>43</v>
      </c>
      <c r="I715" s="1" t="str">
        <f t="shared" si="11"/>
        <v>31-45</v>
      </c>
      <c r="J715" s="3">
        <v>41928</v>
      </c>
      <c r="K715" s="4">
        <v>171360</v>
      </c>
      <c r="L715" s="5">
        <v>0.14000000000000001</v>
      </c>
      <c r="M715" s="1" t="s">
        <v>842</v>
      </c>
      <c r="N715" s="1" t="s">
        <v>864</v>
      </c>
      <c r="O715" s="6" t="s">
        <v>26</v>
      </c>
    </row>
    <row r="716" spans="1:15" x14ac:dyDescent="0.35">
      <c r="A716" t="s">
        <v>1463</v>
      </c>
      <c r="B716" s="1" t="s">
        <v>1464</v>
      </c>
      <c r="C716" s="1" t="s">
        <v>102</v>
      </c>
      <c r="D716" s="1" t="s">
        <v>1</v>
      </c>
      <c r="E716" s="1" t="s">
        <v>21</v>
      </c>
      <c r="F716" s="1" t="s">
        <v>22</v>
      </c>
      <c r="G716" s="1" t="s">
        <v>833</v>
      </c>
      <c r="H716" s="1">
        <v>53</v>
      </c>
      <c r="I716" s="1" t="str">
        <f t="shared" si="11"/>
        <v>46-60</v>
      </c>
      <c r="J716" s="3">
        <v>41931</v>
      </c>
      <c r="K716" s="4">
        <v>159538</v>
      </c>
      <c r="L716" s="5">
        <v>0.15</v>
      </c>
      <c r="M716" s="1" t="s">
        <v>834</v>
      </c>
      <c r="N716" s="1" t="s">
        <v>838</v>
      </c>
      <c r="O716" s="6" t="s">
        <v>26</v>
      </c>
    </row>
    <row r="717" spans="1:15" x14ac:dyDescent="0.35">
      <c r="A717" t="s">
        <v>1465</v>
      </c>
      <c r="B717" s="1" t="s">
        <v>1466</v>
      </c>
      <c r="C717" s="1" t="s">
        <v>29</v>
      </c>
      <c r="D717" s="1" t="s">
        <v>20</v>
      </c>
      <c r="E717" s="1" t="s">
        <v>41</v>
      </c>
      <c r="F717" s="1" t="s">
        <v>35</v>
      </c>
      <c r="G717" s="1" t="s">
        <v>833</v>
      </c>
      <c r="H717" s="1">
        <v>45</v>
      </c>
      <c r="I717" s="1" t="str">
        <f t="shared" si="11"/>
        <v>31-45</v>
      </c>
      <c r="J717" s="3">
        <v>41941</v>
      </c>
      <c r="K717" s="4">
        <v>189420</v>
      </c>
      <c r="L717" s="5">
        <v>0.13</v>
      </c>
      <c r="M717" s="1" t="s">
        <v>834</v>
      </c>
      <c r="N717" s="1" t="s">
        <v>934</v>
      </c>
      <c r="O717" s="6" t="s">
        <v>26</v>
      </c>
    </row>
    <row r="718" spans="1:15" x14ac:dyDescent="0.35">
      <c r="A718" t="s">
        <v>1467</v>
      </c>
      <c r="B718" s="1" t="s">
        <v>1468</v>
      </c>
      <c r="C718" s="1" t="s">
        <v>123</v>
      </c>
      <c r="D718" s="1" t="s">
        <v>3</v>
      </c>
      <c r="E718" s="1" t="s">
        <v>41</v>
      </c>
      <c r="F718" s="1" t="s">
        <v>35</v>
      </c>
      <c r="G718" s="1" t="s">
        <v>852</v>
      </c>
      <c r="H718" s="1">
        <v>35</v>
      </c>
      <c r="I718" s="1" t="str">
        <f t="shared" si="11"/>
        <v>31-45</v>
      </c>
      <c r="J718" s="3">
        <v>41941</v>
      </c>
      <c r="K718" s="4">
        <v>91592</v>
      </c>
      <c r="L718" s="5">
        <v>7.0000000000000007E-2</v>
      </c>
      <c r="M718" s="1" t="s">
        <v>834</v>
      </c>
      <c r="N718" s="1" t="s">
        <v>846</v>
      </c>
      <c r="O718" s="6" t="s">
        <v>26</v>
      </c>
    </row>
    <row r="719" spans="1:15" x14ac:dyDescent="0.35">
      <c r="A719" t="s">
        <v>1469</v>
      </c>
      <c r="B719" s="1" t="s">
        <v>1470</v>
      </c>
      <c r="C719" s="1" t="s">
        <v>45</v>
      </c>
      <c r="D719" s="1" t="s">
        <v>61</v>
      </c>
      <c r="E719" s="1" t="s">
        <v>21</v>
      </c>
      <c r="F719" s="1" t="s">
        <v>22</v>
      </c>
      <c r="G719" s="1" t="s">
        <v>841</v>
      </c>
      <c r="H719" s="1">
        <v>33</v>
      </c>
      <c r="I719" s="1" t="str">
        <f t="shared" si="11"/>
        <v>31-45</v>
      </c>
      <c r="J719" s="3">
        <v>41973</v>
      </c>
      <c r="K719" s="4">
        <v>91280</v>
      </c>
      <c r="L719" s="5">
        <v>0.14000000000000001</v>
      </c>
      <c r="M719" s="1" t="s">
        <v>834</v>
      </c>
      <c r="N719" s="1" t="s">
        <v>838</v>
      </c>
      <c r="O719" s="6" t="s">
        <v>26</v>
      </c>
    </row>
    <row r="720" spans="1:15" x14ac:dyDescent="0.35">
      <c r="A720" t="s">
        <v>1471</v>
      </c>
      <c r="B720" s="1" t="s">
        <v>1472</v>
      </c>
      <c r="C720" s="1" t="s">
        <v>446</v>
      </c>
      <c r="D720" s="1" t="s">
        <v>20</v>
      </c>
      <c r="E720" s="1" t="s">
        <v>73</v>
      </c>
      <c r="F720" s="1" t="s">
        <v>22</v>
      </c>
      <c r="G720" s="1" t="s">
        <v>852</v>
      </c>
      <c r="H720" s="1">
        <v>56</v>
      </c>
      <c r="I720" s="1" t="str">
        <f t="shared" si="11"/>
        <v>46-60</v>
      </c>
      <c r="J720" s="3">
        <v>42031</v>
      </c>
      <c r="K720" s="4">
        <v>62575</v>
      </c>
      <c r="L720" s="5">
        <v>0.1</v>
      </c>
      <c r="M720" s="1" t="s">
        <v>834</v>
      </c>
      <c r="N720" s="1" t="s">
        <v>838</v>
      </c>
      <c r="O720" s="6" t="s">
        <v>26</v>
      </c>
    </row>
    <row r="721" spans="1:15" x14ac:dyDescent="0.35">
      <c r="A721" t="s">
        <v>1473</v>
      </c>
      <c r="B721" s="1" t="s">
        <v>1474</v>
      </c>
      <c r="C721" s="1" t="s">
        <v>110</v>
      </c>
      <c r="D721" s="1" t="s">
        <v>3</v>
      </c>
      <c r="E721" s="1" t="s">
        <v>30</v>
      </c>
      <c r="F721" s="1" t="s">
        <v>35</v>
      </c>
      <c r="G721" s="1" t="s">
        <v>833</v>
      </c>
      <c r="H721" s="1">
        <v>48</v>
      </c>
      <c r="I721" s="1" t="str">
        <f t="shared" si="11"/>
        <v>46-60</v>
      </c>
      <c r="J721" s="3">
        <v>42053</v>
      </c>
      <c r="K721" s="4">
        <v>194871</v>
      </c>
      <c r="L721" s="5">
        <v>0.14000000000000001</v>
      </c>
      <c r="M721" s="1" t="s">
        <v>834</v>
      </c>
      <c r="N721" s="1" t="s">
        <v>855</v>
      </c>
      <c r="O721" s="6" t="s">
        <v>26</v>
      </c>
    </row>
    <row r="722" spans="1:15" x14ac:dyDescent="0.35">
      <c r="A722" t="s">
        <v>1475</v>
      </c>
      <c r="B722" s="1" t="s">
        <v>1476</v>
      </c>
      <c r="C722" s="1" t="s">
        <v>144</v>
      </c>
      <c r="D722" s="1" t="s">
        <v>80</v>
      </c>
      <c r="E722" s="1" t="s">
        <v>21</v>
      </c>
      <c r="F722" s="1" t="s">
        <v>35</v>
      </c>
      <c r="G722" s="1" t="s">
        <v>833</v>
      </c>
      <c r="H722" s="1">
        <v>30</v>
      </c>
      <c r="I722" s="1" t="str">
        <f t="shared" si="11"/>
        <v>18-30</v>
      </c>
      <c r="J722" s="3">
        <v>42068</v>
      </c>
      <c r="K722" s="4">
        <v>52697</v>
      </c>
      <c r="L722" s="5">
        <v>0.11</v>
      </c>
      <c r="M722" s="1" t="s">
        <v>834</v>
      </c>
      <c r="N722" s="1" t="s">
        <v>934</v>
      </c>
      <c r="O722" s="6" t="s">
        <v>26</v>
      </c>
    </row>
    <row r="723" spans="1:15" x14ac:dyDescent="0.35">
      <c r="A723" t="s">
        <v>1477</v>
      </c>
      <c r="B723" s="1" t="s">
        <v>1478</v>
      </c>
      <c r="C723" s="1" t="s">
        <v>55</v>
      </c>
      <c r="D723" s="1" t="s">
        <v>56</v>
      </c>
      <c r="E723" s="1" t="s">
        <v>21</v>
      </c>
      <c r="F723" s="1" t="s">
        <v>22</v>
      </c>
      <c r="G723" s="1" t="s">
        <v>833</v>
      </c>
      <c r="H723" s="1">
        <v>30</v>
      </c>
      <c r="I723" s="1" t="str">
        <f t="shared" si="11"/>
        <v>18-30</v>
      </c>
      <c r="J723" s="3">
        <v>42078</v>
      </c>
      <c r="K723" s="4">
        <v>93734</v>
      </c>
      <c r="L723" s="5">
        <v>0.13</v>
      </c>
      <c r="M723" s="1" t="s">
        <v>834</v>
      </c>
      <c r="N723" s="1" t="s">
        <v>835</v>
      </c>
      <c r="O723" s="6" t="s">
        <v>26</v>
      </c>
    </row>
    <row r="724" spans="1:15" x14ac:dyDescent="0.35">
      <c r="A724" t="s">
        <v>1479</v>
      </c>
      <c r="B724" s="1" t="s">
        <v>1480</v>
      </c>
      <c r="C724" s="1" t="s">
        <v>102</v>
      </c>
      <c r="D724" s="1" t="s">
        <v>3</v>
      </c>
      <c r="E724" s="1" t="s">
        <v>73</v>
      </c>
      <c r="F724" s="1" t="s">
        <v>35</v>
      </c>
      <c r="G724" s="1" t="s">
        <v>833</v>
      </c>
      <c r="H724" s="1">
        <v>43</v>
      </c>
      <c r="I724" s="1" t="str">
        <f t="shared" si="11"/>
        <v>31-45</v>
      </c>
      <c r="J724" s="3">
        <v>42090</v>
      </c>
      <c r="K724" s="4">
        <v>120321</v>
      </c>
      <c r="L724" s="5">
        <v>0.09</v>
      </c>
      <c r="M724" s="1" t="s">
        <v>834</v>
      </c>
      <c r="N724" s="1" t="s">
        <v>849</v>
      </c>
      <c r="O724" s="6" t="s">
        <v>26</v>
      </c>
    </row>
    <row r="725" spans="1:15" x14ac:dyDescent="0.35">
      <c r="A725" t="s">
        <v>1481</v>
      </c>
      <c r="B725" s="1" t="s">
        <v>1482</v>
      </c>
      <c r="C725" s="1" t="s">
        <v>45</v>
      </c>
      <c r="D725" s="1" t="s">
        <v>61</v>
      </c>
      <c r="E725" s="1" t="s">
        <v>21</v>
      </c>
      <c r="F725" s="1" t="s">
        <v>22</v>
      </c>
      <c r="G725" s="1" t="s">
        <v>841</v>
      </c>
      <c r="H725" s="1">
        <v>42</v>
      </c>
      <c r="I725" s="1" t="str">
        <f t="shared" si="11"/>
        <v>31-45</v>
      </c>
      <c r="J725" s="3">
        <v>42101</v>
      </c>
      <c r="K725" s="4">
        <v>99697</v>
      </c>
      <c r="L725" s="5">
        <v>0.11</v>
      </c>
      <c r="M725" s="1" t="s">
        <v>842</v>
      </c>
      <c r="N725" s="1" t="s">
        <v>871</v>
      </c>
      <c r="O725" s="6" t="s">
        <v>26</v>
      </c>
    </row>
    <row r="726" spans="1:15" x14ac:dyDescent="0.35">
      <c r="A726" t="s">
        <v>1483</v>
      </c>
      <c r="B726" s="1" t="s">
        <v>1484</v>
      </c>
      <c r="C726" s="1" t="s">
        <v>29</v>
      </c>
      <c r="D726" s="1" t="s">
        <v>56</v>
      </c>
      <c r="E726" s="1" t="s">
        <v>30</v>
      </c>
      <c r="F726" s="1" t="s">
        <v>22</v>
      </c>
      <c r="G726" s="1" t="s">
        <v>833</v>
      </c>
      <c r="H726" s="1">
        <v>60</v>
      </c>
      <c r="I726" s="1" t="str">
        <f t="shared" si="11"/>
        <v>&gt;60</v>
      </c>
      <c r="J726" s="3">
        <v>42108</v>
      </c>
      <c r="K726" s="4">
        <v>155788</v>
      </c>
      <c r="L726" s="5">
        <v>0.14000000000000001</v>
      </c>
      <c r="M726" s="1" t="s">
        <v>834</v>
      </c>
      <c r="N726" s="1" t="s">
        <v>934</v>
      </c>
      <c r="O726" s="6" t="s">
        <v>26</v>
      </c>
    </row>
    <row r="727" spans="1:15" x14ac:dyDescent="0.35">
      <c r="A727" t="s">
        <v>1485</v>
      </c>
      <c r="B727" s="1" t="s">
        <v>1486</v>
      </c>
      <c r="C727" s="1" t="s">
        <v>29</v>
      </c>
      <c r="D727" s="1" t="s">
        <v>56</v>
      </c>
      <c r="E727" s="1" t="s">
        <v>73</v>
      </c>
      <c r="F727" s="1" t="s">
        <v>22</v>
      </c>
      <c r="G727" s="1" t="s">
        <v>852</v>
      </c>
      <c r="H727" s="1">
        <v>41</v>
      </c>
      <c r="I727" s="1" t="str">
        <f t="shared" si="11"/>
        <v>31-45</v>
      </c>
      <c r="J727" s="3">
        <v>42111</v>
      </c>
      <c r="K727" s="4">
        <v>152239</v>
      </c>
      <c r="L727" s="5">
        <v>0.17</v>
      </c>
      <c r="M727" s="1" t="s">
        <v>834</v>
      </c>
      <c r="N727" s="1" t="s">
        <v>855</v>
      </c>
      <c r="O727" s="6" t="s">
        <v>26</v>
      </c>
    </row>
    <row r="728" spans="1:15" x14ac:dyDescent="0.35">
      <c r="A728" t="s">
        <v>1487</v>
      </c>
      <c r="B728" s="1" t="s">
        <v>1488</v>
      </c>
      <c r="C728" s="1" t="s">
        <v>169</v>
      </c>
      <c r="D728" s="1" t="s">
        <v>3</v>
      </c>
      <c r="E728" s="1" t="s">
        <v>73</v>
      </c>
      <c r="F728" s="1" t="s">
        <v>22</v>
      </c>
      <c r="G728" s="1" t="s">
        <v>833</v>
      </c>
      <c r="H728" s="1">
        <v>38</v>
      </c>
      <c r="I728" s="1" t="str">
        <f t="shared" si="11"/>
        <v>31-45</v>
      </c>
      <c r="J728" s="3">
        <v>42113</v>
      </c>
      <c r="K728" s="4">
        <v>48762</v>
      </c>
      <c r="L728" s="5">
        <v>0.11</v>
      </c>
      <c r="M728" s="1" t="s">
        <v>834</v>
      </c>
      <c r="N728" s="1" t="s">
        <v>934</v>
      </c>
      <c r="O728" s="6" t="s">
        <v>26</v>
      </c>
    </row>
    <row r="729" spans="1:15" x14ac:dyDescent="0.35">
      <c r="A729" t="s">
        <v>1489</v>
      </c>
      <c r="B729" s="1" t="s">
        <v>1490</v>
      </c>
      <c r="C729" s="1" t="s">
        <v>144</v>
      </c>
      <c r="D729" s="1" t="s">
        <v>80</v>
      </c>
      <c r="E729" s="1" t="s">
        <v>41</v>
      </c>
      <c r="F729" s="1" t="s">
        <v>22</v>
      </c>
      <c r="G729" s="1" t="s">
        <v>841</v>
      </c>
      <c r="H729" s="1">
        <v>46</v>
      </c>
      <c r="I729" s="1" t="str">
        <f t="shared" si="11"/>
        <v>46-60</v>
      </c>
      <c r="J729" s="3">
        <v>42129</v>
      </c>
      <c r="K729" s="4">
        <v>64364</v>
      </c>
      <c r="L729" s="5">
        <v>0.11</v>
      </c>
      <c r="M729" s="1" t="s">
        <v>842</v>
      </c>
      <c r="N729" s="1" t="s">
        <v>843</v>
      </c>
      <c r="O729" s="6" t="s">
        <v>26</v>
      </c>
    </row>
    <row r="730" spans="1:15" x14ac:dyDescent="0.35">
      <c r="A730" t="s">
        <v>1491</v>
      </c>
      <c r="B730" s="1" t="s">
        <v>1492</v>
      </c>
      <c r="C730" s="1" t="s">
        <v>2</v>
      </c>
      <c r="D730" s="1" t="s">
        <v>1</v>
      </c>
      <c r="E730" s="1" t="s">
        <v>30</v>
      </c>
      <c r="F730" s="1" t="s">
        <v>35</v>
      </c>
      <c r="G730" s="1" t="s">
        <v>841</v>
      </c>
      <c r="H730" s="1">
        <v>47</v>
      </c>
      <c r="I730" s="1" t="str">
        <f t="shared" si="11"/>
        <v>46-60</v>
      </c>
      <c r="J730" s="3">
        <v>42164</v>
      </c>
      <c r="K730" s="4">
        <v>41429</v>
      </c>
      <c r="L730" s="5">
        <v>0.15</v>
      </c>
      <c r="M730" s="1" t="s">
        <v>834</v>
      </c>
      <c r="N730" s="1" t="s">
        <v>934</v>
      </c>
      <c r="O730" s="6" t="s">
        <v>26</v>
      </c>
    </row>
    <row r="731" spans="1:15" x14ac:dyDescent="0.35">
      <c r="A731" t="s">
        <v>1493</v>
      </c>
      <c r="B731" s="1" t="s">
        <v>1494</v>
      </c>
      <c r="C731" s="1" t="s">
        <v>60</v>
      </c>
      <c r="D731" s="1" t="s">
        <v>56</v>
      </c>
      <c r="E731" s="1" t="s">
        <v>73</v>
      </c>
      <c r="F731" s="1" t="s">
        <v>22</v>
      </c>
      <c r="G731" s="1" t="s">
        <v>841</v>
      </c>
      <c r="H731" s="1">
        <v>59</v>
      </c>
      <c r="I731" s="1" t="str">
        <f t="shared" si="11"/>
        <v>46-60</v>
      </c>
      <c r="J731" s="3">
        <v>42165</v>
      </c>
      <c r="K731" s="4">
        <v>101985</v>
      </c>
      <c r="L731" s="5">
        <v>0.06</v>
      </c>
      <c r="M731" s="1" t="s">
        <v>834</v>
      </c>
      <c r="N731" s="1" t="s">
        <v>838</v>
      </c>
      <c r="O731" s="6" t="s">
        <v>26</v>
      </c>
    </row>
    <row r="732" spans="1:15" x14ac:dyDescent="0.35">
      <c r="A732" t="s">
        <v>1495</v>
      </c>
      <c r="B732" s="1" t="s">
        <v>1496</v>
      </c>
      <c r="C732" s="1" t="s">
        <v>34</v>
      </c>
      <c r="D732" s="1" t="s">
        <v>3</v>
      </c>
      <c r="E732" s="1" t="s">
        <v>41</v>
      </c>
      <c r="F732" s="1" t="s">
        <v>22</v>
      </c>
      <c r="G732" s="1" t="s">
        <v>833</v>
      </c>
      <c r="H732" s="1">
        <v>30</v>
      </c>
      <c r="I732" s="1" t="str">
        <f t="shared" si="11"/>
        <v>18-30</v>
      </c>
      <c r="J732" s="3">
        <v>42169</v>
      </c>
      <c r="K732" s="4">
        <v>67489</v>
      </c>
      <c r="L732" s="5">
        <v>0.14000000000000001</v>
      </c>
      <c r="M732" s="1" t="s">
        <v>834</v>
      </c>
      <c r="N732" s="1" t="s">
        <v>846</v>
      </c>
      <c r="O732" s="6" t="s">
        <v>26</v>
      </c>
    </row>
    <row r="733" spans="1:15" x14ac:dyDescent="0.35">
      <c r="A733" t="s">
        <v>1497</v>
      </c>
      <c r="B733" s="1" t="s">
        <v>1498</v>
      </c>
      <c r="C733" s="1" t="s">
        <v>110</v>
      </c>
      <c r="D733" s="1" t="s">
        <v>20</v>
      </c>
      <c r="E733" s="1" t="s">
        <v>30</v>
      </c>
      <c r="F733" s="1" t="s">
        <v>22</v>
      </c>
      <c r="G733" s="1" t="s">
        <v>833</v>
      </c>
      <c r="H733" s="1">
        <v>33</v>
      </c>
      <c r="I733" s="1" t="str">
        <f t="shared" si="11"/>
        <v>31-45</v>
      </c>
      <c r="J733" s="3">
        <v>42173</v>
      </c>
      <c r="K733" s="4">
        <v>205314</v>
      </c>
      <c r="L733" s="5">
        <v>0.09</v>
      </c>
      <c r="M733" s="1" t="s">
        <v>834</v>
      </c>
      <c r="N733" s="1" t="s">
        <v>855</v>
      </c>
      <c r="O733" s="6" t="s">
        <v>26</v>
      </c>
    </row>
    <row r="734" spans="1:15" x14ac:dyDescent="0.35">
      <c r="A734" t="s">
        <v>1499</v>
      </c>
      <c r="B734" s="1" t="s">
        <v>1500</v>
      </c>
      <c r="C734" s="1" t="s">
        <v>144</v>
      </c>
      <c r="D734" s="1" t="s">
        <v>80</v>
      </c>
      <c r="E734" s="1" t="s">
        <v>30</v>
      </c>
      <c r="F734" s="1" t="s">
        <v>22</v>
      </c>
      <c r="G734" s="1" t="s">
        <v>841</v>
      </c>
      <c r="H734" s="1">
        <v>34</v>
      </c>
      <c r="I734" s="1" t="str">
        <f t="shared" si="11"/>
        <v>31-45</v>
      </c>
      <c r="J734" s="3">
        <v>42182</v>
      </c>
      <c r="K734" s="4">
        <v>57008</v>
      </c>
      <c r="L734" s="5">
        <v>0.06</v>
      </c>
      <c r="M734" s="1" t="s">
        <v>834</v>
      </c>
      <c r="N734" s="1" t="s">
        <v>835</v>
      </c>
      <c r="O734" s="6" t="s">
        <v>26</v>
      </c>
    </row>
    <row r="735" spans="1:15" x14ac:dyDescent="0.35">
      <c r="A735" t="s">
        <v>1501</v>
      </c>
      <c r="B735" s="1" t="s">
        <v>1502</v>
      </c>
      <c r="C735" s="1" t="s">
        <v>106</v>
      </c>
      <c r="D735" s="1" t="s">
        <v>56</v>
      </c>
      <c r="E735" s="1" t="s">
        <v>41</v>
      </c>
      <c r="F735" s="1" t="s">
        <v>22</v>
      </c>
      <c r="G735" s="1" t="s">
        <v>841</v>
      </c>
      <c r="H735" s="1">
        <v>34</v>
      </c>
      <c r="I735" s="1" t="str">
        <f t="shared" si="11"/>
        <v>31-45</v>
      </c>
      <c r="J735" s="3">
        <v>42219</v>
      </c>
      <c r="K735" s="4">
        <v>52200</v>
      </c>
      <c r="L735" s="5">
        <v>0.13</v>
      </c>
      <c r="M735" s="1" t="s">
        <v>834</v>
      </c>
      <c r="N735" s="1" t="s">
        <v>855</v>
      </c>
      <c r="O735" s="6" t="s">
        <v>26</v>
      </c>
    </row>
    <row r="736" spans="1:15" x14ac:dyDescent="0.35">
      <c r="A736" t="s">
        <v>1503</v>
      </c>
      <c r="B736" s="1" t="s">
        <v>1504</v>
      </c>
      <c r="C736" s="1" t="s">
        <v>60</v>
      </c>
      <c r="D736" s="1" t="s">
        <v>187</v>
      </c>
      <c r="E736" s="1" t="s">
        <v>30</v>
      </c>
      <c r="F736" s="1" t="s">
        <v>35</v>
      </c>
      <c r="G736" s="1" t="s">
        <v>833</v>
      </c>
      <c r="H736" s="1">
        <v>38</v>
      </c>
      <c r="I736" s="1" t="str">
        <f t="shared" si="11"/>
        <v>31-45</v>
      </c>
      <c r="J736" s="3">
        <v>42228</v>
      </c>
      <c r="K736" s="4">
        <v>106858</v>
      </c>
      <c r="L736" s="5">
        <v>0.05</v>
      </c>
      <c r="M736" s="1" t="s">
        <v>834</v>
      </c>
      <c r="N736" s="1" t="s">
        <v>934</v>
      </c>
      <c r="O736" s="6" t="s">
        <v>26</v>
      </c>
    </row>
    <row r="737" spans="1:15" x14ac:dyDescent="0.35">
      <c r="A737" t="s">
        <v>1505</v>
      </c>
      <c r="B737" s="1" t="s">
        <v>1506</v>
      </c>
      <c r="C737" s="1" t="s">
        <v>446</v>
      </c>
      <c r="D737" s="1" t="s">
        <v>20</v>
      </c>
      <c r="E737" s="1" t="s">
        <v>21</v>
      </c>
      <c r="F737" s="1" t="s">
        <v>35</v>
      </c>
      <c r="G737" s="1" t="s">
        <v>841</v>
      </c>
      <c r="H737" s="1">
        <v>47</v>
      </c>
      <c r="I737" s="1" t="str">
        <f t="shared" si="11"/>
        <v>46-60</v>
      </c>
      <c r="J737" s="3">
        <v>42245</v>
      </c>
      <c r="K737" s="4">
        <v>68488</v>
      </c>
      <c r="L737" s="5">
        <v>0.09</v>
      </c>
      <c r="M737" s="1" t="s">
        <v>834</v>
      </c>
      <c r="N737" s="1" t="s">
        <v>934</v>
      </c>
      <c r="O737" s="6" t="s">
        <v>26</v>
      </c>
    </row>
    <row r="738" spans="1:15" x14ac:dyDescent="0.35">
      <c r="A738" t="s">
        <v>1507</v>
      </c>
      <c r="B738" s="1" t="s">
        <v>1508</v>
      </c>
      <c r="C738" s="1" t="s">
        <v>102</v>
      </c>
      <c r="D738" s="1" t="s">
        <v>80</v>
      </c>
      <c r="E738" s="1" t="s">
        <v>21</v>
      </c>
      <c r="F738" s="1" t="s">
        <v>22</v>
      </c>
      <c r="G738" s="1" t="s">
        <v>841</v>
      </c>
      <c r="H738" s="1">
        <v>31</v>
      </c>
      <c r="I738" s="1" t="str">
        <f t="shared" si="11"/>
        <v>31-45</v>
      </c>
      <c r="J738" s="3">
        <v>42266</v>
      </c>
      <c r="K738" s="4">
        <v>145846</v>
      </c>
      <c r="L738" s="5">
        <v>0.17</v>
      </c>
      <c r="M738" s="1" t="s">
        <v>842</v>
      </c>
      <c r="N738" s="1" t="s">
        <v>864</v>
      </c>
      <c r="O738" s="6" t="s">
        <v>26</v>
      </c>
    </row>
    <row r="739" spans="1:15" x14ac:dyDescent="0.35">
      <c r="A739" t="s">
        <v>1509</v>
      </c>
      <c r="B739" s="1" t="s">
        <v>1510</v>
      </c>
      <c r="C739" s="1" t="s">
        <v>60</v>
      </c>
      <c r="D739" s="1" t="s">
        <v>61</v>
      </c>
      <c r="E739" s="1" t="s">
        <v>21</v>
      </c>
      <c r="F739" s="1" t="s">
        <v>35</v>
      </c>
      <c r="G739" s="1" t="s">
        <v>852</v>
      </c>
      <c r="H739" s="1">
        <v>42</v>
      </c>
      <c r="I739" s="1" t="str">
        <f t="shared" si="11"/>
        <v>31-45</v>
      </c>
      <c r="J739" s="3">
        <v>42266</v>
      </c>
      <c r="K739" s="4">
        <v>103423</v>
      </c>
      <c r="L739" s="5">
        <v>0.12</v>
      </c>
      <c r="M739" s="1" t="s">
        <v>834</v>
      </c>
      <c r="N739" s="1" t="s">
        <v>855</v>
      </c>
      <c r="O739" s="6" t="s">
        <v>26</v>
      </c>
    </row>
    <row r="740" spans="1:15" x14ac:dyDescent="0.35">
      <c r="A740" t="s">
        <v>1511</v>
      </c>
      <c r="B740" s="1" t="s">
        <v>1512</v>
      </c>
      <c r="C740" s="1" t="s">
        <v>102</v>
      </c>
      <c r="D740" s="1" t="s">
        <v>80</v>
      </c>
      <c r="E740" s="1" t="s">
        <v>41</v>
      </c>
      <c r="F740" s="1" t="s">
        <v>22</v>
      </c>
      <c r="G740" s="1" t="s">
        <v>841</v>
      </c>
      <c r="H740" s="1">
        <v>60</v>
      </c>
      <c r="I740" s="1" t="str">
        <f t="shared" si="11"/>
        <v>&gt;60</v>
      </c>
      <c r="J740" s="3">
        <v>42270</v>
      </c>
      <c r="K740" s="4">
        <v>141899</v>
      </c>
      <c r="L740" s="5">
        <v>0.16</v>
      </c>
      <c r="M740" s="1" t="s">
        <v>834</v>
      </c>
      <c r="N740" s="1" t="s">
        <v>835</v>
      </c>
      <c r="O740" s="6" t="s">
        <v>26</v>
      </c>
    </row>
    <row r="741" spans="1:15" x14ac:dyDescent="0.35">
      <c r="A741" t="s">
        <v>1513</v>
      </c>
      <c r="B741" s="1" t="s">
        <v>1514</v>
      </c>
      <c r="C741" s="1" t="s">
        <v>130</v>
      </c>
      <c r="D741" s="1" t="s">
        <v>20</v>
      </c>
      <c r="E741" s="1" t="s">
        <v>30</v>
      </c>
      <c r="F741" s="1" t="s">
        <v>35</v>
      </c>
      <c r="G741" s="1" t="s">
        <v>833</v>
      </c>
      <c r="H741" s="1">
        <v>56</v>
      </c>
      <c r="I741" s="1" t="str">
        <f t="shared" si="11"/>
        <v>46-60</v>
      </c>
      <c r="J741" s="3">
        <v>42291</v>
      </c>
      <c r="K741" s="4">
        <v>76272</v>
      </c>
      <c r="L741" s="5">
        <v>0.15</v>
      </c>
      <c r="M741" s="1" t="s">
        <v>834</v>
      </c>
      <c r="N741" s="1" t="s">
        <v>838</v>
      </c>
      <c r="O741" s="6">
        <v>44491</v>
      </c>
    </row>
    <row r="742" spans="1:15" x14ac:dyDescent="0.35">
      <c r="A742" t="s">
        <v>1515</v>
      </c>
      <c r="B742" s="1" t="s">
        <v>1516</v>
      </c>
      <c r="C742" s="1" t="s">
        <v>40</v>
      </c>
      <c r="D742" s="1" t="s">
        <v>20</v>
      </c>
      <c r="E742" s="1" t="s">
        <v>30</v>
      </c>
      <c r="F742" s="1" t="s">
        <v>35</v>
      </c>
      <c r="G742" s="1" t="s">
        <v>833</v>
      </c>
      <c r="H742" s="1">
        <v>32</v>
      </c>
      <c r="I742" s="1" t="str">
        <f t="shared" si="11"/>
        <v>31-45</v>
      </c>
      <c r="J742" s="3">
        <v>42317</v>
      </c>
      <c r="K742" s="4">
        <v>65247</v>
      </c>
      <c r="L742" s="5">
        <v>0.1</v>
      </c>
      <c r="M742" s="1" t="s">
        <v>834</v>
      </c>
      <c r="N742" s="1" t="s">
        <v>835</v>
      </c>
      <c r="O742" s="6" t="s">
        <v>26</v>
      </c>
    </row>
    <row r="743" spans="1:15" x14ac:dyDescent="0.35">
      <c r="A743" t="s">
        <v>1517</v>
      </c>
      <c r="B743" s="1" t="s">
        <v>1518</v>
      </c>
      <c r="C743" s="1" t="s">
        <v>45</v>
      </c>
      <c r="D743" s="1" t="s">
        <v>61</v>
      </c>
      <c r="E743" s="1" t="s">
        <v>30</v>
      </c>
      <c r="F743" s="1" t="s">
        <v>22</v>
      </c>
      <c r="G743" s="1" t="s">
        <v>833</v>
      </c>
      <c r="H743" s="1">
        <v>33</v>
      </c>
      <c r="I743" s="1" t="str">
        <f t="shared" si="11"/>
        <v>31-45</v>
      </c>
      <c r="J743" s="3">
        <v>42325</v>
      </c>
      <c r="K743" s="4">
        <v>91632</v>
      </c>
      <c r="L743" s="5">
        <v>0.14000000000000001</v>
      </c>
      <c r="M743" s="1" t="s">
        <v>834</v>
      </c>
      <c r="N743" s="1" t="s">
        <v>835</v>
      </c>
      <c r="O743" s="6" t="s">
        <v>26</v>
      </c>
    </row>
    <row r="744" spans="1:15" x14ac:dyDescent="0.35">
      <c r="A744" t="s">
        <v>1519</v>
      </c>
      <c r="B744" s="1" t="s">
        <v>1520</v>
      </c>
      <c r="C744" s="1" t="s">
        <v>40</v>
      </c>
      <c r="D744" s="1" t="s">
        <v>20</v>
      </c>
      <c r="E744" s="1" t="s">
        <v>73</v>
      </c>
      <c r="F744" s="1" t="s">
        <v>22</v>
      </c>
      <c r="G744" s="1" t="s">
        <v>833</v>
      </c>
      <c r="H744" s="1">
        <v>45</v>
      </c>
      <c r="I744" s="1" t="str">
        <f t="shared" si="11"/>
        <v>31-45</v>
      </c>
      <c r="J744" s="3">
        <v>42329</v>
      </c>
      <c r="K744" s="4">
        <v>87292</v>
      </c>
      <c r="L744" s="5">
        <v>0.09</v>
      </c>
      <c r="M744" s="1" t="s">
        <v>834</v>
      </c>
      <c r="N744" s="1" t="s">
        <v>855</v>
      </c>
      <c r="O744" s="6" t="s">
        <v>26</v>
      </c>
    </row>
    <row r="745" spans="1:15" x14ac:dyDescent="0.35">
      <c r="A745" t="s">
        <v>1521</v>
      </c>
      <c r="B745" s="1" t="s">
        <v>1522</v>
      </c>
      <c r="C745" s="1" t="s">
        <v>342</v>
      </c>
      <c r="D745" s="1" t="s">
        <v>56</v>
      </c>
      <c r="E745" s="1" t="s">
        <v>41</v>
      </c>
      <c r="F745" s="1" t="s">
        <v>22</v>
      </c>
      <c r="G745" s="1" t="s">
        <v>841</v>
      </c>
      <c r="H745" s="1">
        <v>31</v>
      </c>
      <c r="I745" s="1" t="str">
        <f t="shared" si="11"/>
        <v>31-45</v>
      </c>
      <c r="J745" s="3">
        <v>42347</v>
      </c>
      <c r="K745" s="4">
        <v>73854</v>
      </c>
      <c r="L745" s="5">
        <v>0.14000000000000001</v>
      </c>
      <c r="M745" s="1" t="s">
        <v>834</v>
      </c>
      <c r="N745" s="1" t="s">
        <v>934</v>
      </c>
      <c r="O745" s="6" t="s">
        <v>26</v>
      </c>
    </row>
    <row r="746" spans="1:15" x14ac:dyDescent="0.35">
      <c r="A746" t="s">
        <v>1523</v>
      </c>
      <c r="B746" s="1" t="s">
        <v>1524</v>
      </c>
      <c r="C746" s="1" t="s">
        <v>342</v>
      </c>
      <c r="D746" s="1" t="s">
        <v>56</v>
      </c>
      <c r="E746" s="1" t="s">
        <v>41</v>
      </c>
      <c r="F746" s="1" t="s">
        <v>22</v>
      </c>
      <c r="G746" s="1" t="s">
        <v>852</v>
      </c>
      <c r="H746" s="1">
        <v>45</v>
      </c>
      <c r="I746" s="1" t="str">
        <f t="shared" si="11"/>
        <v>31-45</v>
      </c>
      <c r="J746" s="3">
        <v>42357</v>
      </c>
      <c r="K746" s="4">
        <v>51983</v>
      </c>
      <c r="L746" s="5">
        <v>0.08</v>
      </c>
      <c r="M746" s="1" t="s">
        <v>834</v>
      </c>
      <c r="N746" s="1" t="s">
        <v>855</v>
      </c>
      <c r="O746" s="6" t="s">
        <v>26</v>
      </c>
    </row>
    <row r="747" spans="1:15" x14ac:dyDescent="0.35">
      <c r="A747" t="s">
        <v>1525</v>
      </c>
      <c r="B747" s="1" t="s">
        <v>1526</v>
      </c>
      <c r="C747" s="1" t="s">
        <v>102</v>
      </c>
      <c r="D747" s="1" t="s">
        <v>56</v>
      </c>
      <c r="E747" s="1" t="s">
        <v>41</v>
      </c>
      <c r="F747" s="1" t="s">
        <v>22</v>
      </c>
      <c r="G747" s="1" t="s">
        <v>841</v>
      </c>
      <c r="H747" s="1">
        <v>41</v>
      </c>
      <c r="I747" s="1" t="str">
        <f t="shared" si="11"/>
        <v>31-45</v>
      </c>
      <c r="J747" s="3">
        <v>42365</v>
      </c>
      <c r="K747" s="4">
        <v>129903</v>
      </c>
      <c r="L747" s="5">
        <v>0.06</v>
      </c>
      <c r="M747" s="1" t="s">
        <v>842</v>
      </c>
      <c r="N747" s="1" t="s">
        <v>843</v>
      </c>
      <c r="O747" s="6" t="s">
        <v>26</v>
      </c>
    </row>
    <row r="748" spans="1:15" x14ac:dyDescent="0.35">
      <c r="A748" t="s">
        <v>1527</v>
      </c>
      <c r="B748" s="1" t="s">
        <v>1528</v>
      </c>
      <c r="C748" s="1" t="s">
        <v>102</v>
      </c>
      <c r="D748" s="1" t="s">
        <v>80</v>
      </c>
      <c r="E748" s="1" t="s">
        <v>21</v>
      </c>
      <c r="F748" s="1" t="s">
        <v>35</v>
      </c>
      <c r="G748" s="1" t="s">
        <v>841</v>
      </c>
      <c r="H748" s="1">
        <v>45</v>
      </c>
      <c r="I748" s="1" t="str">
        <f t="shared" si="11"/>
        <v>31-45</v>
      </c>
      <c r="J748" s="3">
        <v>42379</v>
      </c>
      <c r="K748" s="4">
        <v>149761</v>
      </c>
      <c r="L748" s="5">
        <v>0.08</v>
      </c>
      <c r="M748" s="1" t="s">
        <v>834</v>
      </c>
      <c r="N748" s="1" t="s">
        <v>855</v>
      </c>
      <c r="O748" s="6" t="s">
        <v>26</v>
      </c>
    </row>
    <row r="749" spans="1:15" x14ac:dyDescent="0.35">
      <c r="A749" t="s">
        <v>1529</v>
      </c>
      <c r="B749" s="1" t="s">
        <v>1530</v>
      </c>
      <c r="C749" s="1" t="s">
        <v>110</v>
      </c>
      <c r="D749" s="1" t="s">
        <v>20</v>
      </c>
      <c r="E749" s="1" t="s">
        <v>41</v>
      </c>
      <c r="F749" s="1" t="s">
        <v>22</v>
      </c>
      <c r="G749" s="1" t="s">
        <v>833</v>
      </c>
      <c r="H749" s="1">
        <v>63</v>
      </c>
      <c r="I749" s="1" t="str">
        <f t="shared" si="11"/>
        <v>&gt;60</v>
      </c>
      <c r="J749" s="3">
        <v>42387</v>
      </c>
      <c r="K749" s="4">
        <v>180994</v>
      </c>
      <c r="L749" s="5">
        <v>0.08</v>
      </c>
      <c r="M749" s="1" t="s">
        <v>834</v>
      </c>
      <c r="N749" s="1" t="s">
        <v>934</v>
      </c>
      <c r="O749" s="6" t="s">
        <v>26</v>
      </c>
    </row>
    <row r="750" spans="1:15" x14ac:dyDescent="0.35">
      <c r="A750" t="s">
        <v>1531</v>
      </c>
      <c r="B750" s="1" t="s">
        <v>1325</v>
      </c>
      <c r="C750" s="1" t="s">
        <v>34</v>
      </c>
      <c r="D750" s="1" t="s">
        <v>3</v>
      </c>
      <c r="E750" s="1" t="s">
        <v>41</v>
      </c>
      <c r="F750" s="1" t="s">
        <v>22</v>
      </c>
      <c r="G750" s="1" t="s">
        <v>852</v>
      </c>
      <c r="H750" s="1">
        <v>34</v>
      </c>
      <c r="I750" s="1" t="str">
        <f t="shared" si="11"/>
        <v>31-45</v>
      </c>
      <c r="J750" s="3">
        <v>42416</v>
      </c>
      <c r="K750" s="4">
        <v>63411</v>
      </c>
      <c r="L750" s="5">
        <v>0.09</v>
      </c>
      <c r="M750" s="1" t="s">
        <v>834</v>
      </c>
      <c r="N750" s="1" t="s">
        <v>838</v>
      </c>
      <c r="O750" s="6" t="s">
        <v>26</v>
      </c>
    </row>
    <row r="751" spans="1:15" x14ac:dyDescent="0.35">
      <c r="A751" t="s">
        <v>1532</v>
      </c>
      <c r="B751" s="1" t="s">
        <v>1533</v>
      </c>
      <c r="C751" s="1" t="s">
        <v>183</v>
      </c>
      <c r="D751" s="1" t="s">
        <v>3</v>
      </c>
      <c r="E751" s="1" t="s">
        <v>21</v>
      </c>
      <c r="F751" s="1" t="s">
        <v>22</v>
      </c>
      <c r="G751" s="1" t="s">
        <v>833</v>
      </c>
      <c r="H751" s="1">
        <v>61</v>
      </c>
      <c r="I751" s="1" t="str">
        <f t="shared" si="11"/>
        <v>&gt;60</v>
      </c>
      <c r="J751" s="3">
        <v>42437</v>
      </c>
      <c r="K751" s="4">
        <v>96566</v>
      </c>
      <c r="L751" s="5">
        <v>0.06</v>
      </c>
      <c r="M751" s="1" t="s">
        <v>834</v>
      </c>
      <c r="N751" s="1" t="s">
        <v>855</v>
      </c>
      <c r="O751" s="6" t="s">
        <v>26</v>
      </c>
    </row>
    <row r="752" spans="1:15" x14ac:dyDescent="0.35">
      <c r="A752" t="s">
        <v>1534</v>
      </c>
      <c r="B752" s="1" t="s">
        <v>1535</v>
      </c>
      <c r="C752" s="1" t="s">
        <v>19</v>
      </c>
      <c r="D752" s="1" t="s">
        <v>20</v>
      </c>
      <c r="E752" s="1" t="s">
        <v>41</v>
      </c>
      <c r="F752" s="1" t="s">
        <v>35</v>
      </c>
      <c r="G752" s="1" t="s">
        <v>841</v>
      </c>
      <c r="H752" s="1">
        <v>49</v>
      </c>
      <c r="I752" s="1" t="str">
        <f t="shared" si="11"/>
        <v>46-60</v>
      </c>
      <c r="J752" s="3">
        <v>42441</v>
      </c>
      <c r="K752" s="4">
        <v>100810</v>
      </c>
      <c r="L752" s="5">
        <v>0.09</v>
      </c>
      <c r="M752" s="1" t="s">
        <v>842</v>
      </c>
      <c r="N752" s="1" t="s">
        <v>871</v>
      </c>
      <c r="O752" s="6" t="s">
        <v>26</v>
      </c>
    </row>
    <row r="753" spans="1:15" x14ac:dyDescent="0.35">
      <c r="A753" t="s">
        <v>1536</v>
      </c>
      <c r="B753" s="1" t="s">
        <v>1537</v>
      </c>
      <c r="C753" s="1" t="s">
        <v>40</v>
      </c>
      <c r="D753" s="1" t="s">
        <v>20</v>
      </c>
      <c r="E753" s="1" t="s">
        <v>73</v>
      </c>
      <c r="F753" s="1" t="s">
        <v>35</v>
      </c>
      <c r="G753" s="1" t="s">
        <v>841</v>
      </c>
      <c r="H753" s="1">
        <v>36</v>
      </c>
      <c r="I753" s="1" t="str">
        <f t="shared" si="11"/>
        <v>31-45</v>
      </c>
      <c r="J753" s="3">
        <v>42443</v>
      </c>
      <c r="K753" s="4">
        <v>85870</v>
      </c>
      <c r="L753" s="5">
        <v>0.15</v>
      </c>
      <c r="M753" s="1" t="s">
        <v>842</v>
      </c>
      <c r="N753" s="1" t="s">
        <v>843</v>
      </c>
      <c r="O753" s="6" t="s">
        <v>26</v>
      </c>
    </row>
    <row r="754" spans="1:15" x14ac:dyDescent="0.35">
      <c r="A754" t="s">
        <v>1538</v>
      </c>
      <c r="B754" s="1" t="s">
        <v>1539</v>
      </c>
      <c r="C754" s="1" t="s">
        <v>123</v>
      </c>
      <c r="D754" s="1" t="s">
        <v>3</v>
      </c>
      <c r="E754" s="1" t="s">
        <v>73</v>
      </c>
      <c r="F754" s="1" t="s">
        <v>22</v>
      </c>
      <c r="G754" s="1" t="s">
        <v>833</v>
      </c>
      <c r="H754" s="1">
        <v>43</v>
      </c>
      <c r="I754" s="1" t="str">
        <f t="shared" si="11"/>
        <v>31-45</v>
      </c>
      <c r="J754" s="3">
        <v>42467</v>
      </c>
      <c r="K754" s="4">
        <v>67976</v>
      </c>
      <c r="L754" s="5">
        <v>0.11</v>
      </c>
      <c r="M754" s="1" t="s">
        <v>834</v>
      </c>
      <c r="N754" s="1" t="s">
        <v>934</v>
      </c>
      <c r="O754" s="6" t="s">
        <v>26</v>
      </c>
    </row>
    <row r="755" spans="1:15" x14ac:dyDescent="0.35">
      <c r="A755" t="s">
        <v>1540</v>
      </c>
      <c r="B755" s="1" t="s">
        <v>1541</v>
      </c>
      <c r="C755" s="1" t="s">
        <v>102</v>
      </c>
      <c r="D755" s="1" t="s">
        <v>3</v>
      </c>
      <c r="E755" s="1" t="s">
        <v>21</v>
      </c>
      <c r="F755" s="1" t="s">
        <v>35</v>
      </c>
      <c r="G755" s="1" t="s">
        <v>852</v>
      </c>
      <c r="H755" s="1">
        <v>55</v>
      </c>
      <c r="I755" s="1" t="str">
        <f t="shared" si="11"/>
        <v>46-60</v>
      </c>
      <c r="J755" s="3">
        <v>42468</v>
      </c>
      <c r="K755" s="4">
        <v>141604</v>
      </c>
      <c r="L755" s="5">
        <v>0.11</v>
      </c>
      <c r="M755" s="1" t="s">
        <v>834</v>
      </c>
      <c r="N755" s="1" t="s">
        <v>934</v>
      </c>
      <c r="O755" s="6">
        <v>44485</v>
      </c>
    </row>
    <row r="756" spans="1:15" x14ac:dyDescent="0.35">
      <c r="A756" t="s">
        <v>1542</v>
      </c>
      <c r="B756" s="1" t="s">
        <v>1543</v>
      </c>
      <c r="C756" s="1" t="s">
        <v>469</v>
      </c>
      <c r="D756" s="1" t="s">
        <v>3</v>
      </c>
      <c r="E756" s="1" t="s">
        <v>21</v>
      </c>
      <c r="F756" s="1" t="s">
        <v>35</v>
      </c>
      <c r="G756" s="1" t="s">
        <v>833</v>
      </c>
      <c r="H756" s="1">
        <v>58</v>
      </c>
      <c r="I756" s="1" t="str">
        <f t="shared" si="11"/>
        <v>46-60</v>
      </c>
      <c r="J756" s="3">
        <v>42486</v>
      </c>
      <c r="K756" s="4">
        <v>72045</v>
      </c>
      <c r="L756" s="5">
        <v>0.1</v>
      </c>
      <c r="M756" s="1" t="s">
        <v>834</v>
      </c>
      <c r="N756" s="1" t="s">
        <v>835</v>
      </c>
      <c r="O756" s="6" t="s">
        <v>26</v>
      </c>
    </row>
    <row r="757" spans="1:15" x14ac:dyDescent="0.35">
      <c r="A757" t="s">
        <v>1544</v>
      </c>
      <c r="B757" s="1" t="s">
        <v>1545</v>
      </c>
      <c r="C757" s="1" t="s">
        <v>65</v>
      </c>
      <c r="D757" s="1" t="s">
        <v>3</v>
      </c>
      <c r="E757" s="1" t="s">
        <v>41</v>
      </c>
      <c r="F757" s="1" t="s">
        <v>35</v>
      </c>
      <c r="G757" s="1" t="s">
        <v>852</v>
      </c>
      <c r="H757" s="1">
        <v>37</v>
      </c>
      <c r="I757" s="1" t="str">
        <f t="shared" si="11"/>
        <v>31-45</v>
      </c>
      <c r="J757" s="3">
        <v>42487</v>
      </c>
      <c r="K757" s="4">
        <v>91400</v>
      </c>
      <c r="L757" s="5">
        <v>0.06</v>
      </c>
      <c r="M757" s="1" t="s">
        <v>834</v>
      </c>
      <c r="N757" s="1" t="s">
        <v>846</v>
      </c>
      <c r="O757" s="6" t="s">
        <v>26</v>
      </c>
    </row>
    <row r="758" spans="1:15" x14ac:dyDescent="0.35">
      <c r="A758" t="s">
        <v>1546</v>
      </c>
      <c r="B758" s="1" t="s">
        <v>1547</v>
      </c>
      <c r="C758" s="1" t="s">
        <v>2</v>
      </c>
      <c r="D758" s="1" t="s">
        <v>61</v>
      </c>
      <c r="E758" s="1" t="s">
        <v>73</v>
      </c>
      <c r="F758" s="1" t="s">
        <v>22</v>
      </c>
      <c r="G758" s="1" t="s">
        <v>841</v>
      </c>
      <c r="H758" s="1">
        <v>38</v>
      </c>
      <c r="I758" s="1" t="str">
        <f t="shared" si="11"/>
        <v>31-45</v>
      </c>
      <c r="J758" s="3">
        <v>42492</v>
      </c>
      <c r="K758" s="4">
        <v>50784</v>
      </c>
      <c r="L758" s="5">
        <v>0.1</v>
      </c>
      <c r="M758" s="1" t="s">
        <v>842</v>
      </c>
      <c r="N758" s="1" t="s">
        <v>871</v>
      </c>
      <c r="O758" s="6" t="s">
        <v>26</v>
      </c>
    </row>
    <row r="759" spans="1:15" x14ac:dyDescent="0.35">
      <c r="A759" t="s">
        <v>1548</v>
      </c>
      <c r="B759" s="1" t="s">
        <v>1257</v>
      </c>
      <c r="C759" s="1" t="s">
        <v>469</v>
      </c>
      <c r="D759" s="1" t="s">
        <v>3</v>
      </c>
      <c r="E759" s="1" t="s">
        <v>41</v>
      </c>
      <c r="F759" s="1" t="s">
        <v>22</v>
      </c>
      <c r="G759" s="1" t="s">
        <v>852</v>
      </c>
      <c r="H759" s="1">
        <v>31</v>
      </c>
      <c r="I759" s="1" t="str">
        <f t="shared" si="11"/>
        <v>31-45</v>
      </c>
      <c r="J759" s="3">
        <v>42497</v>
      </c>
      <c r="K759" s="4">
        <v>71192</v>
      </c>
      <c r="L759" s="5">
        <v>7.0000000000000007E-2</v>
      </c>
      <c r="M759" s="1" t="s">
        <v>834</v>
      </c>
      <c r="N759" s="1" t="s">
        <v>849</v>
      </c>
      <c r="O759" s="6" t="s">
        <v>26</v>
      </c>
    </row>
    <row r="760" spans="1:15" x14ac:dyDescent="0.35">
      <c r="A760" t="s">
        <v>1549</v>
      </c>
      <c r="B760" s="1" t="s">
        <v>1550</v>
      </c>
      <c r="C760" s="1" t="s">
        <v>137</v>
      </c>
      <c r="D760" s="1" t="s">
        <v>3</v>
      </c>
      <c r="E760" s="1" t="s">
        <v>73</v>
      </c>
      <c r="F760" s="1" t="s">
        <v>22</v>
      </c>
      <c r="G760" s="1" t="s">
        <v>841</v>
      </c>
      <c r="H760" s="1">
        <v>29</v>
      </c>
      <c r="I760" s="1" t="str">
        <f t="shared" si="11"/>
        <v>18-30</v>
      </c>
      <c r="J760" s="3">
        <v>42509</v>
      </c>
      <c r="K760" s="4">
        <v>52693</v>
      </c>
      <c r="L760" s="5">
        <v>0.12</v>
      </c>
      <c r="M760" s="1" t="s">
        <v>842</v>
      </c>
      <c r="N760" s="1" t="s">
        <v>871</v>
      </c>
      <c r="O760" s="6" t="s">
        <v>26</v>
      </c>
    </row>
    <row r="761" spans="1:15" x14ac:dyDescent="0.35">
      <c r="A761" t="s">
        <v>1551</v>
      </c>
      <c r="B761" s="1" t="s">
        <v>1552</v>
      </c>
      <c r="C761" s="1" t="s">
        <v>29</v>
      </c>
      <c r="D761" s="1" t="s">
        <v>20</v>
      </c>
      <c r="E761" s="1" t="s">
        <v>21</v>
      </c>
      <c r="F761" s="1" t="s">
        <v>35</v>
      </c>
      <c r="G761" s="1" t="s">
        <v>841</v>
      </c>
      <c r="H761" s="1">
        <v>30</v>
      </c>
      <c r="I761" s="1" t="str">
        <f t="shared" si="11"/>
        <v>18-30</v>
      </c>
      <c r="J761" s="3">
        <v>42512</v>
      </c>
      <c r="K761" s="4">
        <v>189702</v>
      </c>
      <c r="L761" s="5">
        <v>0.09</v>
      </c>
      <c r="M761" s="1" t="s">
        <v>842</v>
      </c>
      <c r="N761" s="1" t="s">
        <v>864</v>
      </c>
      <c r="O761" s="6">
        <v>44186</v>
      </c>
    </row>
    <row r="762" spans="1:15" x14ac:dyDescent="0.35">
      <c r="A762" t="s">
        <v>1553</v>
      </c>
      <c r="B762" s="1" t="s">
        <v>1554</v>
      </c>
      <c r="C762" s="1" t="s">
        <v>536</v>
      </c>
      <c r="D762" s="1" t="s">
        <v>3</v>
      </c>
      <c r="E762" s="1" t="s">
        <v>73</v>
      </c>
      <c r="F762" s="1" t="s">
        <v>22</v>
      </c>
      <c r="G762" s="1" t="s">
        <v>833</v>
      </c>
      <c r="H762" s="1">
        <v>34</v>
      </c>
      <c r="I762" s="1" t="str">
        <f t="shared" si="11"/>
        <v>31-45</v>
      </c>
      <c r="J762" s="3">
        <v>42514</v>
      </c>
      <c r="K762" s="4">
        <v>94352</v>
      </c>
      <c r="L762" s="5">
        <v>0.1</v>
      </c>
      <c r="M762" s="1" t="s">
        <v>834</v>
      </c>
      <c r="N762" s="1" t="s">
        <v>838</v>
      </c>
      <c r="O762" s="6" t="s">
        <v>26</v>
      </c>
    </row>
    <row r="763" spans="1:15" x14ac:dyDescent="0.35">
      <c r="A763" t="s">
        <v>1555</v>
      </c>
      <c r="B763" s="1" t="s">
        <v>1556</v>
      </c>
      <c r="C763" s="1" t="s">
        <v>446</v>
      </c>
      <c r="D763" s="1" t="s">
        <v>20</v>
      </c>
      <c r="E763" s="1" t="s">
        <v>41</v>
      </c>
      <c r="F763" s="1" t="s">
        <v>35</v>
      </c>
      <c r="G763" s="1" t="s">
        <v>841</v>
      </c>
      <c r="H763" s="1">
        <v>30</v>
      </c>
      <c r="I763" s="1" t="str">
        <f t="shared" si="11"/>
        <v>18-30</v>
      </c>
      <c r="J763" s="3">
        <v>42516</v>
      </c>
      <c r="K763" s="4">
        <v>91134</v>
      </c>
      <c r="L763" s="5">
        <v>0.14000000000000001</v>
      </c>
      <c r="M763" s="1" t="s">
        <v>842</v>
      </c>
      <c r="N763" s="1" t="s">
        <v>843</v>
      </c>
      <c r="O763" s="6" t="s">
        <v>26</v>
      </c>
    </row>
    <row r="764" spans="1:15" x14ac:dyDescent="0.35">
      <c r="A764" t="s">
        <v>1557</v>
      </c>
      <c r="B764" s="1" t="s">
        <v>1558</v>
      </c>
      <c r="C764" s="1" t="s">
        <v>45</v>
      </c>
      <c r="D764" s="1" t="s">
        <v>187</v>
      </c>
      <c r="E764" s="1" t="s">
        <v>30</v>
      </c>
      <c r="F764" s="1" t="s">
        <v>35</v>
      </c>
      <c r="G764" s="1" t="s">
        <v>841</v>
      </c>
      <c r="H764" s="1">
        <v>41</v>
      </c>
      <c r="I764" s="1" t="str">
        <f t="shared" si="11"/>
        <v>31-45</v>
      </c>
      <c r="J764" s="3">
        <v>42533</v>
      </c>
      <c r="K764" s="4">
        <v>70165</v>
      </c>
      <c r="L764" s="5">
        <v>0.05</v>
      </c>
      <c r="M764" s="1" t="s">
        <v>834</v>
      </c>
      <c r="N764" s="1" t="s">
        <v>855</v>
      </c>
      <c r="O764" s="6" t="s">
        <v>26</v>
      </c>
    </row>
    <row r="765" spans="1:15" x14ac:dyDescent="0.35">
      <c r="A765" t="s">
        <v>1559</v>
      </c>
      <c r="B765" s="1" t="s">
        <v>1560</v>
      </c>
      <c r="C765" s="1" t="s">
        <v>110</v>
      </c>
      <c r="D765" s="1" t="s">
        <v>3</v>
      </c>
      <c r="E765" s="1" t="s">
        <v>30</v>
      </c>
      <c r="F765" s="1" t="s">
        <v>22</v>
      </c>
      <c r="G765" s="1" t="s">
        <v>833</v>
      </c>
      <c r="H765" s="1">
        <v>38</v>
      </c>
      <c r="I765" s="1" t="str">
        <f t="shared" si="11"/>
        <v>31-45</v>
      </c>
      <c r="J765" s="3">
        <v>42543</v>
      </c>
      <c r="K765" s="4">
        <v>249870</v>
      </c>
      <c r="L765" s="5">
        <v>0.06</v>
      </c>
      <c r="M765" s="1" t="s">
        <v>834</v>
      </c>
      <c r="N765" s="1" t="s">
        <v>846</v>
      </c>
      <c r="O765" s="6" t="s">
        <v>26</v>
      </c>
    </row>
    <row r="766" spans="1:15" x14ac:dyDescent="0.35">
      <c r="A766" t="s">
        <v>1561</v>
      </c>
      <c r="B766" s="1" t="s">
        <v>1562</v>
      </c>
      <c r="C766" s="1" t="s">
        <v>250</v>
      </c>
      <c r="D766" s="1" t="s">
        <v>3</v>
      </c>
      <c r="E766" s="1" t="s">
        <v>30</v>
      </c>
      <c r="F766" s="1" t="s">
        <v>22</v>
      </c>
      <c r="G766" s="1" t="s">
        <v>841</v>
      </c>
      <c r="H766" s="1">
        <v>49</v>
      </c>
      <c r="I766" s="1" t="str">
        <f t="shared" si="11"/>
        <v>46-60</v>
      </c>
      <c r="J766" s="3">
        <v>42545</v>
      </c>
      <c r="K766" s="4">
        <v>68426</v>
      </c>
      <c r="L766" s="5">
        <v>0.17</v>
      </c>
      <c r="M766" s="1" t="s">
        <v>842</v>
      </c>
      <c r="N766" s="1" t="s">
        <v>871</v>
      </c>
      <c r="O766" s="6" t="s">
        <v>26</v>
      </c>
    </row>
    <row r="767" spans="1:15" x14ac:dyDescent="0.35">
      <c r="A767" t="s">
        <v>1563</v>
      </c>
      <c r="B767" s="1" t="s">
        <v>1564</v>
      </c>
      <c r="C767" s="1" t="s">
        <v>110</v>
      </c>
      <c r="D767" s="1" t="s">
        <v>1</v>
      </c>
      <c r="E767" s="1" t="s">
        <v>41</v>
      </c>
      <c r="F767" s="1" t="s">
        <v>35</v>
      </c>
      <c r="G767" s="1" t="s">
        <v>841</v>
      </c>
      <c r="H767" s="1">
        <v>43</v>
      </c>
      <c r="I767" s="1" t="str">
        <f t="shared" si="11"/>
        <v>31-45</v>
      </c>
      <c r="J767" s="3">
        <v>42603</v>
      </c>
      <c r="K767" s="4">
        <v>258498</v>
      </c>
      <c r="L767" s="5">
        <v>0.12</v>
      </c>
      <c r="M767" s="1" t="s">
        <v>834</v>
      </c>
      <c r="N767" s="1" t="s">
        <v>855</v>
      </c>
      <c r="O767" s="6" t="s">
        <v>26</v>
      </c>
    </row>
    <row r="768" spans="1:15" x14ac:dyDescent="0.35">
      <c r="A768" t="s">
        <v>1565</v>
      </c>
      <c r="B768" s="1" t="s">
        <v>1566</v>
      </c>
      <c r="C768" s="1" t="s">
        <v>29</v>
      </c>
      <c r="D768" s="1" t="s">
        <v>187</v>
      </c>
      <c r="E768" s="1" t="s">
        <v>21</v>
      </c>
      <c r="F768" s="1" t="s">
        <v>22</v>
      </c>
      <c r="G768" s="1" t="s">
        <v>833</v>
      </c>
      <c r="H768" s="1">
        <v>36</v>
      </c>
      <c r="I768" s="1" t="str">
        <f t="shared" si="11"/>
        <v>31-45</v>
      </c>
      <c r="J768" s="3">
        <v>42616</v>
      </c>
      <c r="K768" s="4">
        <v>150399</v>
      </c>
      <c r="L768" s="5">
        <v>0.1</v>
      </c>
      <c r="M768" s="1" t="s">
        <v>834</v>
      </c>
      <c r="N768" s="1" t="s">
        <v>846</v>
      </c>
      <c r="O768" s="6" t="s">
        <v>26</v>
      </c>
    </row>
    <row r="769" spans="1:15" x14ac:dyDescent="0.35">
      <c r="A769" t="s">
        <v>1567</v>
      </c>
      <c r="B769" s="1" t="s">
        <v>1568</v>
      </c>
      <c r="C769" s="1" t="s">
        <v>144</v>
      </c>
      <c r="D769" s="1" t="s">
        <v>61</v>
      </c>
      <c r="E769" s="1" t="s">
        <v>30</v>
      </c>
      <c r="F769" s="1" t="s">
        <v>22</v>
      </c>
      <c r="G769" s="1" t="s">
        <v>852</v>
      </c>
      <c r="H769" s="1">
        <v>41</v>
      </c>
      <c r="I769" s="1" t="str">
        <f t="shared" si="11"/>
        <v>31-45</v>
      </c>
      <c r="J769" s="3">
        <v>42626</v>
      </c>
      <c r="K769" s="4">
        <v>64847</v>
      </c>
      <c r="L769" s="5">
        <v>7.0000000000000007E-2</v>
      </c>
      <c r="M769" s="1" t="s">
        <v>834</v>
      </c>
      <c r="N769" s="1" t="s">
        <v>838</v>
      </c>
      <c r="O769" s="6" t="s">
        <v>26</v>
      </c>
    </row>
    <row r="770" spans="1:15" x14ac:dyDescent="0.35">
      <c r="A770" t="s">
        <v>1569</v>
      </c>
      <c r="B770" s="1" t="s">
        <v>1570</v>
      </c>
      <c r="C770" s="1" t="s">
        <v>45</v>
      </c>
      <c r="D770" s="1" t="s">
        <v>61</v>
      </c>
      <c r="E770" s="1" t="s">
        <v>73</v>
      </c>
      <c r="F770" s="1" t="s">
        <v>22</v>
      </c>
      <c r="G770" s="1" t="s">
        <v>833</v>
      </c>
      <c r="H770" s="1">
        <v>33</v>
      </c>
      <c r="I770" s="1" t="str">
        <f t="shared" si="11"/>
        <v>31-45</v>
      </c>
      <c r="J770" s="3">
        <v>42631</v>
      </c>
      <c r="K770" s="4">
        <v>98427</v>
      </c>
      <c r="L770" s="5">
        <v>7.0000000000000007E-2</v>
      </c>
      <c r="M770" s="1" t="s">
        <v>834</v>
      </c>
      <c r="N770" s="1" t="s">
        <v>855</v>
      </c>
      <c r="O770" s="6" t="s">
        <v>26</v>
      </c>
    </row>
    <row r="771" spans="1:15" x14ac:dyDescent="0.35">
      <c r="A771" t="s">
        <v>1571</v>
      </c>
      <c r="B771" s="1" t="s">
        <v>1572</v>
      </c>
      <c r="C771" s="1" t="s">
        <v>110</v>
      </c>
      <c r="D771" s="1" t="s">
        <v>61</v>
      </c>
      <c r="E771" s="1" t="s">
        <v>30</v>
      </c>
      <c r="F771" s="1" t="s">
        <v>35</v>
      </c>
      <c r="G771" s="1" t="s">
        <v>852</v>
      </c>
      <c r="H771" s="1">
        <v>30</v>
      </c>
      <c r="I771" s="1" t="str">
        <f t="shared" ref="I771:I834" si="12">IF(H771&gt;=60,"&gt;60",IF(H771&gt;=46,"46-60",IF(H771&gt;=31,"31-45",IF(H771&gt;18,"18-30",""))))</f>
        <v>18-30</v>
      </c>
      <c r="J771" s="3">
        <v>42634</v>
      </c>
      <c r="K771" s="4">
        <v>221217</v>
      </c>
      <c r="L771" s="5">
        <v>7.0000000000000007E-2</v>
      </c>
      <c r="M771" s="1" t="s">
        <v>834</v>
      </c>
      <c r="N771" s="1" t="s">
        <v>855</v>
      </c>
      <c r="O771" s="6">
        <v>43003</v>
      </c>
    </row>
    <row r="772" spans="1:15" x14ac:dyDescent="0.35">
      <c r="A772" t="s">
        <v>1573</v>
      </c>
      <c r="B772" s="1" t="s">
        <v>1574</v>
      </c>
      <c r="C772" s="1" t="s">
        <v>335</v>
      </c>
      <c r="D772" s="1" t="s">
        <v>3</v>
      </c>
      <c r="E772" s="1" t="s">
        <v>30</v>
      </c>
      <c r="F772" s="1" t="s">
        <v>22</v>
      </c>
      <c r="G772" s="1" t="s">
        <v>852</v>
      </c>
      <c r="H772" s="1">
        <v>31</v>
      </c>
      <c r="I772" s="1" t="str">
        <f t="shared" si="12"/>
        <v>31-45</v>
      </c>
      <c r="J772" s="3">
        <v>42656</v>
      </c>
      <c r="K772" s="4">
        <v>63744</v>
      </c>
      <c r="L772" s="5">
        <v>0.16</v>
      </c>
      <c r="M772" s="1" t="s">
        <v>834</v>
      </c>
      <c r="N772" s="1" t="s">
        <v>849</v>
      </c>
      <c r="O772" s="6" t="s">
        <v>26</v>
      </c>
    </row>
    <row r="773" spans="1:15" x14ac:dyDescent="0.35">
      <c r="A773" t="s">
        <v>1575</v>
      </c>
      <c r="B773" s="1" t="s">
        <v>1576</v>
      </c>
      <c r="C773" s="1" t="s">
        <v>106</v>
      </c>
      <c r="D773" s="1" t="s">
        <v>56</v>
      </c>
      <c r="E773" s="1" t="s">
        <v>73</v>
      </c>
      <c r="F773" s="1" t="s">
        <v>35</v>
      </c>
      <c r="G773" s="1" t="s">
        <v>841</v>
      </c>
      <c r="H773" s="1">
        <v>34</v>
      </c>
      <c r="I773" s="1" t="str">
        <f t="shared" si="12"/>
        <v>31-45</v>
      </c>
      <c r="J773" s="3">
        <v>42664</v>
      </c>
      <c r="K773" s="4">
        <v>52811</v>
      </c>
      <c r="L773" s="5">
        <v>0.17</v>
      </c>
      <c r="M773" s="1" t="s">
        <v>834</v>
      </c>
      <c r="N773" s="1" t="s">
        <v>838</v>
      </c>
      <c r="O773" s="6" t="s">
        <v>26</v>
      </c>
    </row>
    <row r="774" spans="1:15" x14ac:dyDescent="0.35">
      <c r="A774" t="s">
        <v>1577</v>
      </c>
      <c r="B774" s="1" t="s">
        <v>1578</v>
      </c>
      <c r="C774" s="1" t="s">
        <v>274</v>
      </c>
      <c r="D774" s="1" t="s">
        <v>3</v>
      </c>
      <c r="E774" s="1" t="s">
        <v>30</v>
      </c>
      <c r="F774" s="1" t="s">
        <v>22</v>
      </c>
      <c r="G774" s="1" t="s">
        <v>841</v>
      </c>
      <c r="H774" s="1">
        <v>39</v>
      </c>
      <c r="I774" s="1" t="str">
        <f t="shared" si="12"/>
        <v>31-45</v>
      </c>
      <c r="J774" s="3">
        <v>42664</v>
      </c>
      <c r="K774" s="4">
        <v>84297</v>
      </c>
      <c r="L774" s="5">
        <v>0.11</v>
      </c>
      <c r="M774" s="1" t="s">
        <v>842</v>
      </c>
      <c r="N774" s="1" t="s">
        <v>864</v>
      </c>
      <c r="O774" s="6" t="s">
        <v>26</v>
      </c>
    </row>
    <row r="775" spans="1:15" x14ac:dyDescent="0.35">
      <c r="A775" t="s">
        <v>1579</v>
      </c>
      <c r="B775" s="1" t="s">
        <v>1580</v>
      </c>
      <c r="C775" s="1" t="s">
        <v>60</v>
      </c>
      <c r="D775" s="1" t="s">
        <v>61</v>
      </c>
      <c r="E775" s="1" t="s">
        <v>30</v>
      </c>
      <c r="F775" s="1" t="s">
        <v>35</v>
      </c>
      <c r="G775" s="1" t="s">
        <v>833</v>
      </c>
      <c r="H775" s="1">
        <v>29</v>
      </c>
      <c r="I775" s="1" t="str">
        <f t="shared" si="12"/>
        <v>18-30</v>
      </c>
      <c r="J775" s="3">
        <v>42676</v>
      </c>
      <c r="K775" s="4">
        <v>122054</v>
      </c>
      <c r="L775" s="5">
        <v>0.05</v>
      </c>
      <c r="M775" s="1" t="s">
        <v>834</v>
      </c>
      <c r="N775" s="1" t="s">
        <v>835</v>
      </c>
      <c r="O775" s="6" t="s">
        <v>26</v>
      </c>
    </row>
    <row r="776" spans="1:15" x14ac:dyDescent="0.35">
      <c r="A776" t="s">
        <v>1581</v>
      </c>
      <c r="B776" s="1" t="s">
        <v>1582</v>
      </c>
      <c r="C776" s="1" t="s">
        <v>183</v>
      </c>
      <c r="D776" s="1" t="s">
        <v>3</v>
      </c>
      <c r="E776" s="1" t="s">
        <v>73</v>
      </c>
      <c r="F776" s="1" t="s">
        <v>35</v>
      </c>
      <c r="G776" s="1" t="s">
        <v>841</v>
      </c>
      <c r="H776" s="1">
        <v>36</v>
      </c>
      <c r="I776" s="1" t="str">
        <f t="shared" si="12"/>
        <v>31-45</v>
      </c>
      <c r="J776" s="3">
        <v>42677</v>
      </c>
      <c r="K776" s="4">
        <v>94618</v>
      </c>
      <c r="L776" s="5">
        <v>0.05</v>
      </c>
      <c r="M776" s="1" t="s">
        <v>834</v>
      </c>
      <c r="N776" s="1" t="s">
        <v>855</v>
      </c>
      <c r="O776" s="6" t="s">
        <v>26</v>
      </c>
    </row>
    <row r="777" spans="1:15" x14ac:dyDescent="0.35">
      <c r="A777" t="s">
        <v>1583</v>
      </c>
      <c r="B777" s="1" t="s">
        <v>1584</v>
      </c>
      <c r="C777" s="1" t="s">
        <v>144</v>
      </c>
      <c r="D777" s="1" t="s">
        <v>1</v>
      </c>
      <c r="E777" s="1" t="s">
        <v>41</v>
      </c>
      <c r="F777" s="1" t="s">
        <v>35</v>
      </c>
      <c r="G777" s="1" t="s">
        <v>833</v>
      </c>
      <c r="H777" s="1">
        <v>29</v>
      </c>
      <c r="I777" s="1" t="str">
        <f t="shared" si="12"/>
        <v>18-30</v>
      </c>
      <c r="J777" s="3">
        <v>42691</v>
      </c>
      <c r="K777" s="4">
        <v>60930</v>
      </c>
      <c r="L777" s="5">
        <v>7.0000000000000007E-2</v>
      </c>
      <c r="M777" s="1" t="s">
        <v>834</v>
      </c>
      <c r="N777" s="1" t="s">
        <v>849</v>
      </c>
      <c r="O777" s="6" t="s">
        <v>26</v>
      </c>
    </row>
    <row r="778" spans="1:15" x14ac:dyDescent="0.35">
      <c r="A778" t="s">
        <v>1585</v>
      </c>
      <c r="B778" s="1" t="s">
        <v>1586</v>
      </c>
      <c r="C778" s="1" t="s">
        <v>29</v>
      </c>
      <c r="D778" s="1" t="s">
        <v>61</v>
      </c>
      <c r="E778" s="1" t="s">
        <v>73</v>
      </c>
      <c r="F778" s="1" t="s">
        <v>22</v>
      </c>
      <c r="G778" s="1" t="s">
        <v>833</v>
      </c>
      <c r="H778" s="1">
        <v>32</v>
      </c>
      <c r="I778" s="1" t="str">
        <f t="shared" si="12"/>
        <v>31-45</v>
      </c>
      <c r="J778" s="3">
        <v>42702</v>
      </c>
      <c r="K778" s="4">
        <v>177443</v>
      </c>
      <c r="L778" s="5">
        <v>0.1</v>
      </c>
      <c r="M778" s="1" t="s">
        <v>834</v>
      </c>
      <c r="N778" s="1" t="s">
        <v>934</v>
      </c>
      <c r="O778" s="6" t="s">
        <v>26</v>
      </c>
    </row>
    <row r="779" spans="1:15" x14ac:dyDescent="0.35">
      <c r="A779" t="s">
        <v>1587</v>
      </c>
      <c r="B779" s="1" t="s">
        <v>1588</v>
      </c>
      <c r="C779" s="1" t="s">
        <v>130</v>
      </c>
      <c r="D779" s="1" t="s">
        <v>20</v>
      </c>
      <c r="E779" s="1" t="s">
        <v>41</v>
      </c>
      <c r="F779" s="1" t="s">
        <v>22</v>
      </c>
      <c r="G779" s="1" t="s">
        <v>833</v>
      </c>
      <c r="H779" s="1">
        <v>36</v>
      </c>
      <c r="I779" s="1" t="str">
        <f t="shared" si="12"/>
        <v>31-45</v>
      </c>
      <c r="J779" s="3">
        <v>42706</v>
      </c>
      <c r="K779" s="4">
        <v>113781</v>
      </c>
      <c r="L779" s="5">
        <v>0.11</v>
      </c>
      <c r="M779" s="1" t="s">
        <v>834</v>
      </c>
      <c r="N779" s="1" t="s">
        <v>855</v>
      </c>
      <c r="O779" s="6" t="s">
        <v>26</v>
      </c>
    </row>
    <row r="780" spans="1:15" x14ac:dyDescent="0.35">
      <c r="A780" t="s">
        <v>1589</v>
      </c>
      <c r="B780" s="1" t="s">
        <v>1590</v>
      </c>
      <c r="C780" s="1" t="s">
        <v>319</v>
      </c>
      <c r="D780" s="1" t="s">
        <v>1</v>
      </c>
      <c r="E780" s="1" t="s">
        <v>21</v>
      </c>
      <c r="F780" s="1" t="s">
        <v>35</v>
      </c>
      <c r="G780" s="1" t="s">
        <v>833</v>
      </c>
      <c r="H780" s="1">
        <v>30</v>
      </c>
      <c r="I780" s="1" t="str">
        <f t="shared" si="12"/>
        <v>18-30</v>
      </c>
      <c r="J780" s="3">
        <v>42722</v>
      </c>
      <c r="K780" s="4">
        <v>89458</v>
      </c>
      <c r="L780" s="5">
        <v>0.1</v>
      </c>
      <c r="M780" s="1" t="s">
        <v>834</v>
      </c>
      <c r="N780" s="1" t="s">
        <v>849</v>
      </c>
      <c r="O780" s="6" t="s">
        <v>26</v>
      </c>
    </row>
    <row r="781" spans="1:15" x14ac:dyDescent="0.35">
      <c r="A781" t="s">
        <v>1591</v>
      </c>
      <c r="B781" s="1" t="s">
        <v>1592</v>
      </c>
      <c r="C781" s="1" t="s">
        <v>169</v>
      </c>
      <c r="D781" s="1" t="s">
        <v>3</v>
      </c>
      <c r="E781" s="1" t="s">
        <v>41</v>
      </c>
      <c r="F781" s="1" t="s">
        <v>35</v>
      </c>
      <c r="G781" s="1" t="s">
        <v>833</v>
      </c>
      <c r="H781" s="1">
        <v>54</v>
      </c>
      <c r="I781" s="1" t="str">
        <f t="shared" si="12"/>
        <v>46-60</v>
      </c>
      <c r="J781" s="3">
        <v>42731</v>
      </c>
      <c r="K781" s="4">
        <v>41673</v>
      </c>
      <c r="L781" s="5">
        <v>0.17</v>
      </c>
      <c r="M781" s="1" t="s">
        <v>834</v>
      </c>
      <c r="N781" s="1" t="s">
        <v>838</v>
      </c>
      <c r="O781" s="6" t="s">
        <v>26</v>
      </c>
    </row>
    <row r="782" spans="1:15" x14ac:dyDescent="0.35">
      <c r="A782" t="s">
        <v>1593</v>
      </c>
      <c r="B782" s="1" t="s">
        <v>1594</v>
      </c>
      <c r="C782" s="1" t="s">
        <v>29</v>
      </c>
      <c r="D782" s="1" t="s">
        <v>20</v>
      </c>
      <c r="E782" s="1" t="s">
        <v>30</v>
      </c>
      <c r="F782" s="1" t="s">
        <v>35</v>
      </c>
      <c r="G782" s="1" t="s">
        <v>841</v>
      </c>
      <c r="H782" s="1">
        <v>60</v>
      </c>
      <c r="I782" s="1" t="str">
        <f t="shared" si="12"/>
        <v>&gt;60</v>
      </c>
      <c r="J782" s="3">
        <v>42739</v>
      </c>
      <c r="K782" s="4">
        <v>178502</v>
      </c>
      <c r="L782" s="5">
        <v>0.08</v>
      </c>
      <c r="M782" s="1" t="s">
        <v>834</v>
      </c>
      <c r="N782" s="1" t="s">
        <v>849</v>
      </c>
      <c r="O782" s="6" t="s">
        <v>26</v>
      </c>
    </row>
    <row r="783" spans="1:15" x14ac:dyDescent="0.35">
      <c r="A783" t="s">
        <v>1595</v>
      </c>
      <c r="B783" s="1" t="s">
        <v>1596</v>
      </c>
      <c r="C783" s="1" t="s">
        <v>110</v>
      </c>
      <c r="D783" s="1" t="s">
        <v>61</v>
      </c>
      <c r="E783" s="1" t="s">
        <v>73</v>
      </c>
      <c r="F783" s="1" t="s">
        <v>35</v>
      </c>
      <c r="G783" s="1" t="s">
        <v>833</v>
      </c>
      <c r="H783" s="1">
        <v>29</v>
      </c>
      <c r="I783" s="1" t="str">
        <f t="shared" si="12"/>
        <v>18-30</v>
      </c>
      <c r="J783" s="3">
        <v>42740</v>
      </c>
      <c r="K783" s="4">
        <v>190401</v>
      </c>
      <c r="L783" s="5">
        <v>0.17</v>
      </c>
      <c r="M783" s="1" t="s">
        <v>834</v>
      </c>
      <c r="N783" s="1" t="s">
        <v>855</v>
      </c>
      <c r="O783" s="6" t="s">
        <v>26</v>
      </c>
    </row>
    <row r="784" spans="1:15" x14ac:dyDescent="0.35">
      <c r="A784" t="s">
        <v>1597</v>
      </c>
      <c r="B784" s="1" t="s">
        <v>1598</v>
      </c>
      <c r="C784" s="1" t="s">
        <v>45</v>
      </c>
      <c r="D784" s="1" t="s">
        <v>1</v>
      </c>
      <c r="E784" s="1" t="s">
        <v>73</v>
      </c>
      <c r="F784" s="1" t="s">
        <v>35</v>
      </c>
      <c r="G784" s="1" t="s">
        <v>841</v>
      </c>
      <c r="H784" s="1">
        <v>53</v>
      </c>
      <c r="I784" s="1" t="str">
        <f t="shared" si="12"/>
        <v>46-60</v>
      </c>
      <c r="J784" s="3">
        <v>42744</v>
      </c>
      <c r="K784" s="4">
        <v>75769</v>
      </c>
      <c r="L784" s="5">
        <v>0.05</v>
      </c>
      <c r="M784" s="1" t="s">
        <v>842</v>
      </c>
      <c r="N784" s="1" t="s">
        <v>864</v>
      </c>
      <c r="O784" s="6">
        <v>44029</v>
      </c>
    </row>
    <row r="785" spans="1:15" x14ac:dyDescent="0.35">
      <c r="A785" t="s">
        <v>1599</v>
      </c>
      <c r="B785" s="1" t="s">
        <v>1600</v>
      </c>
      <c r="C785" s="1" t="s">
        <v>45</v>
      </c>
      <c r="D785" s="1" t="s">
        <v>61</v>
      </c>
      <c r="E785" s="1" t="s">
        <v>73</v>
      </c>
      <c r="F785" s="1" t="s">
        <v>35</v>
      </c>
      <c r="G785" s="1" t="s">
        <v>841</v>
      </c>
      <c r="H785" s="1">
        <v>35</v>
      </c>
      <c r="I785" s="1" t="str">
        <f t="shared" si="12"/>
        <v>31-45</v>
      </c>
      <c r="J785" s="3">
        <v>42745</v>
      </c>
      <c r="K785" s="4">
        <v>80622</v>
      </c>
      <c r="L785" s="5">
        <v>0.06</v>
      </c>
      <c r="M785" s="1" t="s">
        <v>834</v>
      </c>
      <c r="N785" s="1" t="s">
        <v>849</v>
      </c>
      <c r="O785" s="6" t="s">
        <v>26</v>
      </c>
    </row>
    <row r="786" spans="1:15" x14ac:dyDescent="0.35">
      <c r="A786" t="s">
        <v>1601</v>
      </c>
      <c r="B786" s="1" t="s">
        <v>1602</v>
      </c>
      <c r="C786" s="1" t="s">
        <v>2</v>
      </c>
      <c r="D786" s="1" t="s">
        <v>80</v>
      </c>
      <c r="E786" s="1" t="s">
        <v>41</v>
      </c>
      <c r="F786" s="1" t="s">
        <v>35</v>
      </c>
      <c r="G786" s="1" t="s">
        <v>833</v>
      </c>
      <c r="H786" s="1">
        <v>51</v>
      </c>
      <c r="I786" s="1" t="str">
        <f t="shared" si="12"/>
        <v>46-60</v>
      </c>
      <c r="J786" s="3">
        <v>42753</v>
      </c>
      <c r="K786" s="4">
        <v>53799</v>
      </c>
      <c r="L786" s="5">
        <v>0.05</v>
      </c>
      <c r="M786" s="1" t="s">
        <v>834</v>
      </c>
      <c r="N786" s="1" t="s">
        <v>855</v>
      </c>
      <c r="O786" s="6" t="s">
        <v>26</v>
      </c>
    </row>
    <row r="787" spans="1:15" x14ac:dyDescent="0.35">
      <c r="A787" t="s">
        <v>1603</v>
      </c>
      <c r="B787" s="1" t="s">
        <v>1604</v>
      </c>
      <c r="C787" s="1" t="s">
        <v>102</v>
      </c>
      <c r="D787" s="1" t="s">
        <v>187</v>
      </c>
      <c r="E787" s="1" t="s">
        <v>30</v>
      </c>
      <c r="F787" s="1" t="s">
        <v>35</v>
      </c>
      <c r="G787" s="1" t="s">
        <v>852</v>
      </c>
      <c r="H787" s="1">
        <v>31</v>
      </c>
      <c r="I787" s="1" t="str">
        <f t="shared" si="12"/>
        <v>31-45</v>
      </c>
      <c r="J787" s="3">
        <v>42755</v>
      </c>
      <c r="K787" s="4">
        <v>124629</v>
      </c>
      <c r="L787" s="5">
        <v>0.17</v>
      </c>
      <c r="M787" s="1" t="s">
        <v>834</v>
      </c>
      <c r="N787" s="1" t="s">
        <v>855</v>
      </c>
      <c r="O787" s="6" t="s">
        <v>26</v>
      </c>
    </row>
    <row r="788" spans="1:15" x14ac:dyDescent="0.35">
      <c r="A788" t="s">
        <v>1605</v>
      </c>
      <c r="B788" s="1" t="s">
        <v>1606</v>
      </c>
      <c r="C788" s="1" t="s">
        <v>55</v>
      </c>
      <c r="D788" s="1" t="s">
        <v>56</v>
      </c>
      <c r="E788" s="1" t="s">
        <v>30</v>
      </c>
      <c r="F788" s="1" t="s">
        <v>35</v>
      </c>
      <c r="G788" s="1" t="s">
        <v>833</v>
      </c>
      <c r="H788" s="1">
        <v>30</v>
      </c>
      <c r="I788" s="1" t="str">
        <f t="shared" si="12"/>
        <v>18-30</v>
      </c>
      <c r="J788" s="3">
        <v>42761</v>
      </c>
      <c r="K788" s="4">
        <v>88663</v>
      </c>
      <c r="L788" s="5">
        <v>7.0000000000000007E-2</v>
      </c>
      <c r="M788" s="1" t="s">
        <v>834</v>
      </c>
      <c r="N788" s="1" t="s">
        <v>835</v>
      </c>
      <c r="O788" s="6" t="s">
        <v>26</v>
      </c>
    </row>
    <row r="789" spans="1:15" x14ac:dyDescent="0.35">
      <c r="A789" t="s">
        <v>1607</v>
      </c>
      <c r="B789" s="1" t="s">
        <v>1608</v>
      </c>
      <c r="C789" s="1" t="s">
        <v>102</v>
      </c>
      <c r="D789" s="1" t="s">
        <v>80</v>
      </c>
      <c r="E789" s="1" t="s">
        <v>30</v>
      </c>
      <c r="F789" s="1" t="s">
        <v>35</v>
      </c>
      <c r="G789" s="1" t="s">
        <v>841</v>
      </c>
      <c r="H789" s="1">
        <v>55</v>
      </c>
      <c r="I789" s="1" t="str">
        <f t="shared" si="12"/>
        <v>46-60</v>
      </c>
      <c r="J789" s="3">
        <v>42772</v>
      </c>
      <c r="K789" s="4">
        <v>144986</v>
      </c>
      <c r="L789" s="5">
        <v>0.12</v>
      </c>
      <c r="M789" s="1" t="s">
        <v>834</v>
      </c>
      <c r="N789" s="1" t="s">
        <v>835</v>
      </c>
      <c r="O789" s="6" t="s">
        <v>26</v>
      </c>
    </row>
    <row r="790" spans="1:15" x14ac:dyDescent="0.35">
      <c r="A790" t="s">
        <v>1609</v>
      </c>
      <c r="B790" s="1" t="s">
        <v>1610</v>
      </c>
      <c r="C790" s="1" t="s">
        <v>65</v>
      </c>
      <c r="D790" s="1" t="s">
        <v>3</v>
      </c>
      <c r="E790" s="1" t="s">
        <v>30</v>
      </c>
      <c r="F790" s="1" t="s">
        <v>22</v>
      </c>
      <c r="G790" s="1" t="s">
        <v>841</v>
      </c>
      <c r="H790" s="1">
        <v>30</v>
      </c>
      <c r="I790" s="1" t="str">
        <f t="shared" si="12"/>
        <v>18-30</v>
      </c>
      <c r="J790" s="3">
        <v>42777</v>
      </c>
      <c r="K790" s="4">
        <v>92058</v>
      </c>
      <c r="L790" s="5">
        <v>0.15</v>
      </c>
      <c r="M790" s="1" t="s">
        <v>834</v>
      </c>
      <c r="N790" s="1" t="s">
        <v>849</v>
      </c>
      <c r="O790" s="6" t="s">
        <v>26</v>
      </c>
    </row>
    <row r="791" spans="1:15" x14ac:dyDescent="0.35">
      <c r="A791" t="s">
        <v>1611</v>
      </c>
      <c r="B791" s="1" t="s">
        <v>1612</v>
      </c>
      <c r="C791" s="1" t="s">
        <v>29</v>
      </c>
      <c r="D791" s="1" t="s">
        <v>187</v>
      </c>
      <c r="E791" s="1" t="s">
        <v>41</v>
      </c>
      <c r="F791" s="1" t="s">
        <v>22</v>
      </c>
      <c r="G791" s="1" t="s">
        <v>833</v>
      </c>
      <c r="H791" s="1">
        <v>29</v>
      </c>
      <c r="I791" s="1" t="str">
        <f t="shared" si="12"/>
        <v>18-30</v>
      </c>
      <c r="J791" s="3">
        <v>42785</v>
      </c>
      <c r="K791" s="4">
        <v>181854</v>
      </c>
      <c r="L791" s="5">
        <v>0.15</v>
      </c>
      <c r="M791" s="1" t="s">
        <v>834</v>
      </c>
      <c r="N791" s="1" t="s">
        <v>934</v>
      </c>
      <c r="O791" s="6">
        <v>43945</v>
      </c>
    </row>
    <row r="792" spans="1:15" x14ac:dyDescent="0.35">
      <c r="A792" t="s">
        <v>1613</v>
      </c>
      <c r="B792" s="1" t="s">
        <v>1614</v>
      </c>
      <c r="C792" s="1" t="s">
        <v>102</v>
      </c>
      <c r="D792" s="1" t="s">
        <v>1</v>
      </c>
      <c r="E792" s="1" t="s">
        <v>41</v>
      </c>
      <c r="F792" s="1" t="s">
        <v>22</v>
      </c>
      <c r="G792" s="1" t="s">
        <v>833</v>
      </c>
      <c r="H792" s="1">
        <v>29</v>
      </c>
      <c r="I792" s="1" t="str">
        <f t="shared" si="12"/>
        <v>18-30</v>
      </c>
      <c r="J792" s="3">
        <v>42810</v>
      </c>
      <c r="K792" s="4">
        <v>151413</v>
      </c>
      <c r="L792" s="5">
        <v>0.09</v>
      </c>
      <c r="M792" s="1" t="s">
        <v>834</v>
      </c>
      <c r="N792" s="1" t="s">
        <v>934</v>
      </c>
      <c r="O792" s="6" t="s">
        <v>26</v>
      </c>
    </row>
    <row r="793" spans="1:15" x14ac:dyDescent="0.35">
      <c r="A793" t="s">
        <v>1615</v>
      </c>
      <c r="B793" s="1" t="s">
        <v>1616</v>
      </c>
      <c r="C793" s="1" t="s">
        <v>144</v>
      </c>
      <c r="D793" s="1" t="s">
        <v>61</v>
      </c>
      <c r="E793" s="1" t="s">
        <v>30</v>
      </c>
      <c r="F793" s="1" t="s">
        <v>35</v>
      </c>
      <c r="G793" s="1" t="s">
        <v>833</v>
      </c>
      <c r="H793" s="1">
        <v>39</v>
      </c>
      <c r="I793" s="1" t="str">
        <f t="shared" si="12"/>
        <v>31-45</v>
      </c>
      <c r="J793" s="3">
        <v>42843</v>
      </c>
      <c r="K793" s="4">
        <v>58745</v>
      </c>
      <c r="L793" s="5">
        <v>7.0000000000000007E-2</v>
      </c>
      <c r="M793" s="1" t="s">
        <v>834</v>
      </c>
      <c r="N793" s="1" t="s">
        <v>849</v>
      </c>
      <c r="O793" s="6" t="s">
        <v>26</v>
      </c>
    </row>
    <row r="794" spans="1:15" x14ac:dyDescent="0.35">
      <c r="A794" t="s">
        <v>1617</v>
      </c>
      <c r="B794" s="1" t="s">
        <v>1618</v>
      </c>
      <c r="C794" s="1" t="s">
        <v>335</v>
      </c>
      <c r="D794" s="1" t="s">
        <v>3</v>
      </c>
      <c r="E794" s="1" t="s">
        <v>41</v>
      </c>
      <c r="F794" s="1" t="s">
        <v>35</v>
      </c>
      <c r="G794" s="1" t="s">
        <v>841</v>
      </c>
      <c r="H794" s="1">
        <v>46</v>
      </c>
      <c r="I794" s="1" t="str">
        <f t="shared" si="12"/>
        <v>46-60</v>
      </c>
      <c r="J794" s="3">
        <v>42849</v>
      </c>
      <c r="K794" s="4">
        <v>77461</v>
      </c>
      <c r="L794" s="5">
        <v>0.17</v>
      </c>
      <c r="M794" s="1" t="s">
        <v>842</v>
      </c>
      <c r="N794" s="1" t="s">
        <v>843</v>
      </c>
      <c r="O794" s="6" t="s">
        <v>26</v>
      </c>
    </row>
    <row r="795" spans="1:15" x14ac:dyDescent="0.35">
      <c r="A795" t="s">
        <v>1619</v>
      </c>
      <c r="B795" s="1" t="s">
        <v>1620</v>
      </c>
      <c r="C795" s="1" t="s">
        <v>45</v>
      </c>
      <c r="D795" s="1" t="s">
        <v>1</v>
      </c>
      <c r="E795" s="1" t="s">
        <v>73</v>
      </c>
      <c r="F795" s="1" t="s">
        <v>22</v>
      </c>
      <c r="G795" s="1" t="s">
        <v>841</v>
      </c>
      <c r="H795" s="1">
        <v>61</v>
      </c>
      <c r="I795" s="1" t="str">
        <f t="shared" si="12"/>
        <v>&gt;60</v>
      </c>
      <c r="J795" s="3">
        <v>42858</v>
      </c>
      <c r="K795" s="4">
        <v>90855</v>
      </c>
      <c r="L795" s="5">
        <v>0.13</v>
      </c>
      <c r="M795" s="1" t="s">
        <v>842</v>
      </c>
      <c r="N795" s="1" t="s">
        <v>843</v>
      </c>
      <c r="O795" s="6" t="s">
        <v>26</v>
      </c>
    </row>
    <row r="796" spans="1:15" x14ac:dyDescent="0.35">
      <c r="A796" t="s">
        <v>1621</v>
      </c>
      <c r="B796" s="1" t="s">
        <v>1622</v>
      </c>
      <c r="C796" s="1" t="s">
        <v>123</v>
      </c>
      <c r="D796" s="1" t="s">
        <v>3</v>
      </c>
      <c r="E796" s="1" t="s">
        <v>41</v>
      </c>
      <c r="F796" s="1" t="s">
        <v>22</v>
      </c>
      <c r="G796" s="1" t="s">
        <v>841</v>
      </c>
      <c r="H796" s="1">
        <v>29</v>
      </c>
      <c r="I796" s="1" t="str">
        <f t="shared" si="12"/>
        <v>18-30</v>
      </c>
      <c r="J796" s="3">
        <v>42866</v>
      </c>
      <c r="K796" s="4">
        <v>87536</v>
      </c>
      <c r="L796" s="5">
        <v>0.08</v>
      </c>
      <c r="M796" s="1" t="s">
        <v>834</v>
      </c>
      <c r="N796" s="1" t="s">
        <v>934</v>
      </c>
      <c r="O796" s="6" t="s">
        <v>26</v>
      </c>
    </row>
    <row r="797" spans="1:15" x14ac:dyDescent="0.35">
      <c r="A797" t="s">
        <v>1623</v>
      </c>
      <c r="B797" s="1" t="s">
        <v>1624</v>
      </c>
      <c r="C797" s="1" t="s">
        <v>446</v>
      </c>
      <c r="D797" s="1" t="s">
        <v>20</v>
      </c>
      <c r="E797" s="1" t="s">
        <v>41</v>
      </c>
      <c r="F797" s="1" t="s">
        <v>22</v>
      </c>
      <c r="G797" s="1" t="s">
        <v>841</v>
      </c>
      <c r="H797" s="1">
        <v>35</v>
      </c>
      <c r="I797" s="1" t="str">
        <f t="shared" si="12"/>
        <v>31-45</v>
      </c>
      <c r="J797" s="3">
        <v>42878</v>
      </c>
      <c r="K797" s="4">
        <v>65566</v>
      </c>
      <c r="L797" s="5">
        <v>0.13</v>
      </c>
      <c r="M797" s="1" t="s">
        <v>834</v>
      </c>
      <c r="N797" s="1" t="s">
        <v>934</v>
      </c>
      <c r="O797" s="6" t="s">
        <v>26</v>
      </c>
    </row>
    <row r="798" spans="1:15" x14ac:dyDescent="0.35">
      <c r="A798" t="s">
        <v>1625</v>
      </c>
      <c r="B798" s="1" t="s">
        <v>1626</v>
      </c>
      <c r="C798" s="1" t="s">
        <v>29</v>
      </c>
      <c r="D798" s="1" t="s">
        <v>61</v>
      </c>
      <c r="E798" s="1" t="s">
        <v>30</v>
      </c>
      <c r="F798" s="1" t="s">
        <v>22</v>
      </c>
      <c r="G798" s="1" t="s">
        <v>833</v>
      </c>
      <c r="H798" s="1">
        <v>33</v>
      </c>
      <c r="I798" s="1" t="str">
        <f t="shared" si="12"/>
        <v>31-45</v>
      </c>
      <c r="J798" s="3">
        <v>42898</v>
      </c>
      <c r="K798" s="4">
        <v>164396</v>
      </c>
      <c r="L798" s="5">
        <v>0.11</v>
      </c>
      <c r="M798" s="1" t="s">
        <v>834</v>
      </c>
      <c r="N798" s="1" t="s">
        <v>855</v>
      </c>
      <c r="O798" s="6" t="s">
        <v>26</v>
      </c>
    </row>
    <row r="799" spans="1:15" x14ac:dyDescent="0.35">
      <c r="A799" t="s">
        <v>1627</v>
      </c>
      <c r="B799" s="1" t="s">
        <v>1628</v>
      </c>
      <c r="C799" s="1" t="s">
        <v>29</v>
      </c>
      <c r="D799" s="1" t="s">
        <v>187</v>
      </c>
      <c r="E799" s="1" t="s">
        <v>21</v>
      </c>
      <c r="F799" s="1" t="s">
        <v>35</v>
      </c>
      <c r="G799" s="1" t="s">
        <v>833</v>
      </c>
      <c r="H799" s="1">
        <v>35</v>
      </c>
      <c r="I799" s="1" t="str">
        <f t="shared" si="12"/>
        <v>31-45</v>
      </c>
      <c r="J799" s="3">
        <v>42912</v>
      </c>
      <c r="K799" s="4">
        <v>161269</v>
      </c>
      <c r="L799" s="5">
        <v>0.05</v>
      </c>
      <c r="M799" s="1" t="s">
        <v>834</v>
      </c>
      <c r="N799" s="1" t="s">
        <v>838</v>
      </c>
      <c r="O799" s="6" t="s">
        <v>26</v>
      </c>
    </row>
    <row r="800" spans="1:15" x14ac:dyDescent="0.35">
      <c r="A800" t="s">
        <v>1629</v>
      </c>
      <c r="B800" s="1" t="s">
        <v>1630</v>
      </c>
      <c r="C800" s="1" t="s">
        <v>110</v>
      </c>
      <c r="D800" s="1" t="s">
        <v>20</v>
      </c>
      <c r="E800" s="1" t="s">
        <v>30</v>
      </c>
      <c r="F800" s="1" t="s">
        <v>35</v>
      </c>
      <c r="G800" s="1" t="s">
        <v>841</v>
      </c>
      <c r="H800" s="1">
        <v>28</v>
      </c>
      <c r="I800" s="1" t="str">
        <f t="shared" si="12"/>
        <v>18-30</v>
      </c>
      <c r="J800" s="3">
        <v>42922</v>
      </c>
      <c r="K800" s="4">
        <v>240488</v>
      </c>
      <c r="L800" s="5">
        <v>0.11</v>
      </c>
      <c r="M800" s="1" t="s">
        <v>842</v>
      </c>
      <c r="N800" s="1" t="s">
        <v>871</v>
      </c>
      <c r="O800" s="6" t="s">
        <v>26</v>
      </c>
    </row>
    <row r="801" spans="1:15" x14ac:dyDescent="0.35">
      <c r="A801" t="s">
        <v>1631</v>
      </c>
      <c r="B801" s="1" t="s">
        <v>1632</v>
      </c>
      <c r="C801" s="1" t="s">
        <v>55</v>
      </c>
      <c r="D801" s="1" t="s">
        <v>56</v>
      </c>
      <c r="E801" s="1" t="s">
        <v>41</v>
      </c>
      <c r="F801" s="1" t="s">
        <v>22</v>
      </c>
      <c r="G801" s="1" t="s">
        <v>833</v>
      </c>
      <c r="H801" s="1">
        <v>33</v>
      </c>
      <c r="I801" s="1" t="str">
        <f t="shared" si="12"/>
        <v>31-45</v>
      </c>
      <c r="J801" s="3">
        <v>42951</v>
      </c>
      <c r="K801" s="4">
        <v>92610</v>
      </c>
      <c r="L801" s="5">
        <v>0.12</v>
      </c>
      <c r="M801" s="1" t="s">
        <v>834</v>
      </c>
      <c r="N801" s="1" t="s">
        <v>855</v>
      </c>
      <c r="O801" s="6" t="s">
        <v>26</v>
      </c>
    </row>
    <row r="802" spans="1:15" x14ac:dyDescent="0.35">
      <c r="A802" t="s">
        <v>1633</v>
      </c>
      <c r="B802" s="1" t="s">
        <v>1634</v>
      </c>
      <c r="C802" s="1" t="s">
        <v>60</v>
      </c>
      <c r="D802" s="1" t="s">
        <v>3</v>
      </c>
      <c r="E802" s="1" t="s">
        <v>30</v>
      </c>
      <c r="F802" s="1" t="s">
        <v>22</v>
      </c>
      <c r="G802" s="1" t="s">
        <v>833</v>
      </c>
      <c r="H802" s="1">
        <v>30</v>
      </c>
      <c r="I802" s="1" t="str">
        <f t="shared" si="12"/>
        <v>18-30</v>
      </c>
      <c r="J802" s="3">
        <v>42952</v>
      </c>
      <c r="K802" s="4">
        <v>119906</v>
      </c>
      <c r="L802" s="5">
        <v>0.14000000000000001</v>
      </c>
      <c r="M802" s="1" t="s">
        <v>834</v>
      </c>
      <c r="N802" s="1" t="s">
        <v>855</v>
      </c>
      <c r="O802" s="6" t="s">
        <v>26</v>
      </c>
    </row>
    <row r="803" spans="1:15" x14ac:dyDescent="0.35">
      <c r="A803" t="s">
        <v>1635</v>
      </c>
      <c r="B803" s="1" t="s">
        <v>1636</v>
      </c>
      <c r="C803" s="1" t="s">
        <v>45</v>
      </c>
      <c r="D803" s="1" t="s">
        <v>1</v>
      </c>
      <c r="E803" s="1" t="s">
        <v>41</v>
      </c>
      <c r="F803" s="1" t="s">
        <v>35</v>
      </c>
      <c r="G803" s="1" t="s">
        <v>833</v>
      </c>
      <c r="H803" s="1">
        <v>53</v>
      </c>
      <c r="I803" s="1" t="str">
        <f t="shared" si="12"/>
        <v>46-60</v>
      </c>
      <c r="J803" s="3">
        <v>42952</v>
      </c>
      <c r="K803" s="4">
        <v>89769</v>
      </c>
      <c r="L803" s="5">
        <v>0.15</v>
      </c>
      <c r="M803" s="1" t="s">
        <v>834</v>
      </c>
      <c r="N803" s="1" t="s">
        <v>934</v>
      </c>
      <c r="O803" s="6" t="s">
        <v>26</v>
      </c>
    </row>
    <row r="804" spans="1:15" x14ac:dyDescent="0.35">
      <c r="A804" t="s">
        <v>1637</v>
      </c>
      <c r="B804" s="1" t="s">
        <v>1638</v>
      </c>
      <c r="C804" s="1" t="s">
        <v>29</v>
      </c>
      <c r="D804" s="1" t="s">
        <v>80</v>
      </c>
      <c r="E804" s="1" t="s">
        <v>30</v>
      </c>
      <c r="F804" s="1" t="s">
        <v>22</v>
      </c>
      <c r="G804" s="1" t="s">
        <v>841</v>
      </c>
      <c r="H804" s="1">
        <v>31</v>
      </c>
      <c r="I804" s="1" t="str">
        <f t="shared" si="12"/>
        <v>31-45</v>
      </c>
      <c r="J804" s="3">
        <v>42957</v>
      </c>
      <c r="K804" s="4">
        <v>156931</v>
      </c>
      <c r="L804" s="5">
        <v>0.09</v>
      </c>
      <c r="M804" s="1" t="s">
        <v>834</v>
      </c>
      <c r="N804" s="1" t="s">
        <v>934</v>
      </c>
      <c r="O804" s="6" t="s">
        <v>26</v>
      </c>
    </row>
    <row r="805" spans="1:15" x14ac:dyDescent="0.35">
      <c r="A805" t="s">
        <v>1639</v>
      </c>
      <c r="B805" s="1" t="s">
        <v>1640</v>
      </c>
      <c r="C805" s="1" t="s">
        <v>102</v>
      </c>
      <c r="D805" s="1" t="s">
        <v>1</v>
      </c>
      <c r="E805" s="1" t="s">
        <v>73</v>
      </c>
      <c r="F805" s="1" t="s">
        <v>35</v>
      </c>
      <c r="G805" s="1" t="s">
        <v>852</v>
      </c>
      <c r="H805" s="1">
        <v>30</v>
      </c>
      <c r="I805" s="1" t="str">
        <f t="shared" si="12"/>
        <v>18-30</v>
      </c>
      <c r="J805" s="3">
        <v>42960</v>
      </c>
      <c r="K805" s="4">
        <v>154624</v>
      </c>
      <c r="L805" s="5">
        <v>0.12</v>
      </c>
      <c r="M805" s="1" t="s">
        <v>834</v>
      </c>
      <c r="N805" s="1" t="s">
        <v>849</v>
      </c>
      <c r="O805" s="6" t="s">
        <v>26</v>
      </c>
    </row>
    <row r="806" spans="1:15" x14ac:dyDescent="0.35">
      <c r="A806" t="s">
        <v>1641</v>
      </c>
      <c r="B806" s="1" t="s">
        <v>1642</v>
      </c>
      <c r="C806" s="1" t="s">
        <v>29</v>
      </c>
      <c r="D806" s="1" t="s">
        <v>20</v>
      </c>
      <c r="E806" s="1" t="s">
        <v>73</v>
      </c>
      <c r="F806" s="1" t="s">
        <v>22</v>
      </c>
      <c r="G806" s="1" t="s">
        <v>841</v>
      </c>
      <c r="H806" s="1">
        <v>64</v>
      </c>
      <c r="I806" s="1" t="str">
        <f t="shared" si="12"/>
        <v>&gt;60</v>
      </c>
      <c r="J806" s="3">
        <v>42972</v>
      </c>
      <c r="K806" s="4">
        <v>169509</v>
      </c>
      <c r="L806" s="5">
        <v>0.1</v>
      </c>
      <c r="M806" s="1" t="s">
        <v>842</v>
      </c>
      <c r="N806" s="1" t="s">
        <v>864</v>
      </c>
      <c r="O806" s="6" t="s">
        <v>26</v>
      </c>
    </row>
    <row r="807" spans="1:15" x14ac:dyDescent="0.35">
      <c r="A807" t="s">
        <v>1643</v>
      </c>
      <c r="B807" s="1" t="s">
        <v>1644</v>
      </c>
      <c r="C807" s="1" t="s">
        <v>446</v>
      </c>
      <c r="D807" s="1" t="s">
        <v>20</v>
      </c>
      <c r="E807" s="1" t="s">
        <v>30</v>
      </c>
      <c r="F807" s="1" t="s">
        <v>35</v>
      </c>
      <c r="G807" s="1" t="s">
        <v>833</v>
      </c>
      <c r="H807" s="1">
        <v>37</v>
      </c>
      <c r="I807" s="1" t="str">
        <f t="shared" si="12"/>
        <v>31-45</v>
      </c>
      <c r="J807" s="3">
        <v>42995</v>
      </c>
      <c r="K807" s="4">
        <v>70770</v>
      </c>
      <c r="L807" s="5">
        <v>0.1</v>
      </c>
      <c r="M807" s="1" t="s">
        <v>834</v>
      </c>
      <c r="N807" s="1" t="s">
        <v>838</v>
      </c>
      <c r="O807" s="6" t="s">
        <v>26</v>
      </c>
    </row>
    <row r="808" spans="1:15" x14ac:dyDescent="0.35">
      <c r="A808" t="s">
        <v>1645</v>
      </c>
      <c r="B808" s="1" t="s">
        <v>1646</v>
      </c>
      <c r="C808" s="1" t="s">
        <v>60</v>
      </c>
      <c r="D808" s="1" t="s">
        <v>1</v>
      </c>
      <c r="E808" s="1" t="s">
        <v>73</v>
      </c>
      <c r="F808" s="1" t="s">
        <v>35</v>
      </c>
      <c r="G808" s="1" t="s">
        <v>841</v>
      </c>
      <c r="H808" s="1">
        <v>38</v>
      </c>
      <c r="I808" s="1" t="str">
        <f t="shared" si="12"/>
        <v>31-45</v>
      </c>
      <c r="J808" s="3">
        <v>42999</v>
      </c>
      <c r="K808" s="4">
        <v>119647</v>
      </c>
      <c r="L808" s="5">
        <v>7.0000000000000007E-2</v>
      </c>
      <c r="M808" s="1" t="s">
        <v>842</v>
      </c>
      <c r="N808" s="1" t="s">
        <v>843</v>
      </c>
      <c r="O808" s="6" t="s">
        <v>26</v>
      </c>
    </row>
    <row r="809" spans="1:15" x14ac:dyDescent="0.35">
      <c r="A809" t="s">
        <v>1647</v>
      </c>
      <c r="B809" s="1" t="s">
        <v>1648</v>
      </c>
      <c r="C809" s="1" t="s">
        <v>329</v>
      </c>
      <c r="D809" s="1" t="s">
        <v>3</v>
      </c>
      <c r="E809" s="1" t="s">
        <v>21</v>
      </c>
      <c r="F809" s="1" t="s">
        <v>22</v>
      </c>
      <c r="G809" s="1" t="s">
        <v>841</v>
      </c>
      <c r="H809" s="1">
        <v>28</v>
      </c>
      <c r="I809" s="1" t="str">
        <f t="shared" si="12"/>
        <v>18-30</v>
      </c>
      <c r="J809" s="3">
        <v>43006</v>
      </c>
      <c r="K809" s="4">
        <v>97336</v>
      </c>
      <c r="L809" s="5">
        <v>7.0000000000000007E-2</v>
      </c>
      <c r="M809" s="1" t="s">
        <v>834</v>
      </c>
      <c r="N809" s="1" t="s">
        <v>849</v>
      </c>
      <c r="O809" s="6" t="s">
        <v>26</v>
      </c>
    </row>
    <row r="810" spans="1:15" x14ac:dyDescent="0.35">
      <c r="A810" t="s">
        <v>1649</v>
      </c>
      <c r="B810" s="1" t="s">
        <v>1650</v>
      </c>
      <c r="C810" s="1" t="s">
        <v>335</v>
      </c>
      <c r="D810" s="1" t="s">
        <v>3</v>
      </c>
      <c r="E810" s="1" t="s">
        <v>41</v>
      </c>
      <c r="F810" s="1" t="s">
        <v>35</v>
      </c>
      <c r="G810" s="1" t="s">
        <v>841</v>
      </c>
      <c r="H810" s="1">
        <v>32</v>
      </c>
      <c r="I810" s="1" t="str">
        <f t="shared" si="12"/>
        <v>31-45</v>
      </c>
      <c r="J810" s="3">
        <v>43010</v>
      </c>
      <c r="K810" s="4">
        <v>61886</v>
      </c>
      <c r="L810" s="5">
        <v>0.1</v>
      </c>
      <c r="M810" s="1" t="s">
        <v>842</v>
      </c>
      <c r="N810" s="1" t="s">
        <v>871</v>
      </c>
      <c r="O810" s="6" t="s">
        <v>26</v>
      </c>
    </row>
    <row r="811" spans="1:15" x14ac:dyDescent="0.35">
      <c r="A811" t="s">
        <v>1651</v>
      </c>
      <c r="B811" s="1" t="s">
        <v>1652</v>
      </c>
      <c r="C811" s="1" t="s">
        <v>183</v>
      </c>
      <c r="D811" s="1" t="s">
        <v>3</v>
      </c>
      <c r="E811" s="1" t="s">
        <v>41</v>
      </c>
      <c r="F811" s="1" t="s">
        <v>22</v>
      </c>
      <c r="G811" s="1" t="s">
        <v>833</v>
      </c>
      <c r="H811" s="1">
        <v>41</v>
      </c>
      <c r="I811" s="1" t="str">
        <f t="shared" si="12"/>
        <v>31-45</v>
      </c>
      <c r="J811" s="3">
        <v>43013</v>
      </c>
      <c r="K811" s="4">
        <v>67468</v>
      </c>
      <c r="L811" s="5">
        <v>7.0000000000000007E-2</v>
      </c>
      <c r="M811" s="1" t="s">
        <v>834</v>
      </c>
      <c r="N811" s="1" t="s">
        <v>838</v>
      </c>
      <c r="O811" s="6" t="s">
        <v>26</v>
      </c>
    </row>
    <row r="812" spans="1:15" x14ac:dyDescent="0.35">
      <c r="A812" t="s">
        <v>1653</v>
      </c>
      <c r="B812" s="1" t="s">
        <v>1654</v>
      </c>
      <c r="C812" s="1" t="s">
        <v>183</v>
      </c>
      <c r="D812" s="1" t="s">
        <v>3</v>
      </c>
      <c r="E812" s="1" t="s">
        <v>73</v>
      </c>
      <c r="F812" s="1" t="s">
        <v>35</v>
      </c>
      <c r="G812" s="1" t="s">
        <v>833</v>
      </c>
      <c r="H812" s="1">
        <v>59</v>
      </c>
      <c r="I812" s="1" t="str">
        <f t="shared" si="12"/>
        <v>46-60</v>
      </c>
      <c r="J812" s="3">
        <v>43028</v>
      </c>
      <c r="K812" s="4">
        <v>86831</v>
      </c>
      <c r="L812" s="5">
        <v>0.08</v>
      </c>
      <c r="M812" s="1" t="s">
        <v>834</v>
      </c>
      <c r="N812" s="1" t="s">
        <v>835</v>
      </c>
      <c r="O812" s="6" t="s">
        <v>26</v>
      </c>
    </row>
    <row r="813" spans="1:15" x14ac:dyDescent="0.35">
      <c r="A813" t="s">
        <v>1655</v>
      </c>
      <c r="B813" s="1" t="s">
        <v>1656</v>
      </c>
      <c r="C813" s="1" t="s">
        <v>144</v>
      </c>
      <c r="D813" s="1" t="s">
        <v>187</v>
      </c>
      <c r="E813" s="1" t="s">
        <v>41</v>
      </c>
      <c r="F813" s="1" t="s">
        <v>22</v>
      </c>
      <c r="G813" s="1" t="s">
        <v>833</v>
      </c>
      <c r="H813" s="1">
        <v>43</v>
      </c>
      <c r="I813" s="1" t="str">
        <f t="shared" si="12"/>
        <v>31-45</v>
      </c>
      <c r="J813" s="3">
        <v>43028</v>
      </c>
      <c r="K813" s="4">
        <v>56555</v>
      </c>
      <c r="L813" s="5">
        <v>0.16</v>
      </c>
      <c r="M813" s="1" t="s">
        <v>834</v>
      </c>
      <c r="N813" s="1" t="s">
        <v>835</v>
      </c>
      <c r="O813" s="6" t="s">
        <v>26</v>
      </c>
    </row>
    <row r="814" spans="1:15" x14ac:dyDescent="0.35">
      <c r="A814" t="s">
        <v>1657</v>
      </c>
      <c r="B814" s="1" t="s">
        <v>1658</v>
      </c>
      <c r="C814" s="1" t="s">
        <v>536</v>
      </c>
      <c r="D814" s="1" t="s">
        <v>3</v>
      </c>
      <c r="E814" s="1" t="s">
        <v>73</v>
      </c>
      <c r="F814" s="1" t="s">
        <v>35</v>
      </c>
      <c r="G814" s="1" t="s">
        <v>833</v>
      </c>
      <c r="H814" s="1">
        <v>45</v>
      </c>
      <c r="I814" s="1" t="str">
        <f t="shared" si="12"/>
        <v>31-45</v>
      </c>
      <c r="J814" s="3">
        <v>43042</v>
      </c>
      <c r="K814" s="4">
        <v>66660</v>
      </c>
      <c r="L814" s="5">
        <v>0.16</v>
      </c>
      <c r="M814" s="1" t="s">
        <v>834</v>
      </c>
      <c r="N814" s="1" t="s">
        <v>849</v>
      </c>
      <c r="O814" s="6" t="s">
        <v>26</v>
      </c>
    </row>
    <row r="815" spans="1:15" x14ac:dyDescent="0.35">
      <c r="A815" t="s">
        <v>1659</v>
      </c>
      <c r="B815" s="1" t="s">
        <v>1660</v>
      </c>
      <c r="C815" s="1" t="s">
        <v>60</v>
      </c>
      <c r="D815" s="1" t="s">
        <v>56</v>
      </c>
      <c r="E815" s="1" t="s">
        <v>30</v>
      </c>
      <c r="F815" s="1" t="s">
        <v>35</v>
      </c>
      <c r="G815" s="1" t="s">
        <v>841</v>
      </c>
      <c r="H815" s="1">
        <v>42</v>
      </c>
      <c r="I815" s="1" t="str">
        <f t="shared" si="12"/>
        <v>31-45</v>
      </c>
      <c r="J815" s="3">
        <v>43058</v>
      </c>
      <c r="K815" s="4">
        <v>101143</v>
      </c>
      <c r="L815" s="5">
        <v>0.05</v>
      </c>
      <c r="M815" s="1" t="s">
        <v>834</v>
      </c>
      <c r="N815" s="1" t="s">
        <v>838</v>
      </c>
      <c r="O815" s="6" t="s">
        <v>26</v>
      </c>
    </row>
    <row r="816" spans="1:15" x14ac:dyDescent="0.35">
      <c r="A816" t="s">
        <v>1661</v>
      </c>
      <c r="B816" s="1" t="s">
        <v>1662</v>
      </c>
      <c r="C816" s="1" t="s">
        <v>540</v>
      </c>
      <c r="D816" s="1" t="s">
        <v>20</v>
      </c>
      <c r="E816" s="1" t="s">
        <v>21</v>
      </c>
      <c r="F816" s="1" t="s">
        <v>35</v>
      </c>
      <c r="G816" s="1" t="s">
        <v>841</v>
      </c>
      <c r="H816" s="1">
        <v>42</v>
      </c>
      <c r="I816" s="1" t="str">
        <f t="shared" si="12"/>
        <v>31-45</v>
      </c>
      <c r="J816" s="3">
        <v>43062</v>
      </c>
      <c r="K816" s="4">
        <v>96023</v>
      </c>
      <c r="L816" s="5">
        <v>0.13</v>
      </c>
      <c r="M816" s="1" t="s">
        <v>834</v>
      </c>
      <c r="N816" s="1" t="s">
        <v>838</v>
      </c>
      <c r="O816" s="6" t="s">
        <v>26</v>
      </c>
    </row>
    <row r="817" spans="1:15" x14ac:dyDescent="0.35">
      <c r="A817" t="s">
        <v>1663</v>
      </c>
      <c r="B817" s="1" t="s">
        <v>1664</v>
      </c>
      <c r="C817" s="1" t="s">
        <v>40</v>
      </c>
      <c r="D817" s="1" t="s">
        <v>20</v>
      </c>
      <c r="E817" s="1" t="s">
        <v>21</v>
      </c>
      <c r="F817" s="1" t="s">
        <v>35</v>
      </c>
      <c r="G817" s="1" t="s">
        <v>841</v>
      </c>
      <c r="H817" s="1">
        <v>30</v>
      </c>
      <c r="I817" s="1" t="str">
        <f t="shared" si="12"/>
        <v>18-30</v>
      </c>
      <c r="J817" s="3">
        <v>43086</v>
      </c>
      <c r="K817" s="4">
        <v>87744</v>
      </c>
      <c r="L817" s="5">
        <v>7.0000000000000007E-2</v>
      </c>
      <c r="M817" s="1" t="s">
        <v>842</v>
      </c>
      <c r="N817" s="1" t="s">
        <v>843</v>
      </c>
      <c r="O817" s="6" t="s">
        <v>26</v>
      </c>
    </row>
    <row r="818" spans="1:15" x14ac:dyDescent="0.35">
      <c r="A818" t="s">
        <v>1665</v>
      </c>
      <c r="B818" s="1" t="s">
        <v>1666</v>
      </c>
      <c r="C818" s="1" t="s">
        <v>110</v>
      </c>
      <c r="D818" s="1" t="s">
        <v>80</v>
      </c>
      <c r="E818" s="1" t="s">
        <v>73</v>
      </c>
      <c r="F818" s="1" t="s">
        <v>35</v>
      </c>
      <c r="G818" s="1" t="s">
        <v>833</v>
      </c>
      <c r="H818" s="1">
        <v>32</v>
      </c>
      <c r="I818" s="1" t="str">
        <f t="shared" si="12"/>
        <v>31-45</v>
      </c>
      <c r="J818" s="3">
        <v>43102</v>
      </c>
      <c r="K818" s="4">
        <v>190253</v>
      </c>
      <c r="L818" s="5">
        <v>0.09</v>
      </c>
      <c r="M818" s="1" t="s">
        <v>834</v>
      </c>
      <c r="N818" s="1" t="s">
        <v>849</v>
      </c>
      <c r="O818" s="6" t="s">
        <v>26</v>
      </c>
    </row>
    <row r="819" spans="1:15" x14ac:dyDescent="0.35">
      <c r="A819" t="s">
        <v>1667</v>
      </c>
      <c r="B819" s="1" t="s">
        <v>1668</v>
      </c>
      <c r="C819" s="1" t="s">
        <v>102</v>
      </c>
      <c r="D819" s="1" t="s">
        <v>61</v>
      </c>
      <c r="E819" s="1" t="s">
        <v>73</v>
      </c>
      <c r="F819" s="1" t="s">
        <v>22</v>
      </c>
      <c r="G819" s="1" t="s">
        <v>833</v>
      </c>
      <c r="H819" s="1">
        <v>45</v>
      </c>
      <c r="I819" s="1" t="str">
        <f t="shared" si="12"/>
        <v>31-45</v>
      </c>
      <c r="J819" s="3">
        <v>43111</v>
      </c>
      <c r="K819" s="4">
        <v>127422</v>
      </c>
      <c r="L819" s="5">
        <v>0.11</v>
      </c>
      <c r="M819" s="1" t="s">
        <v>834</v>
      </c>
      <c r="N819" s="1" t="s">
        <v>855</v>
      </c>
      <c r="O819" s="6" t="s">
        <v>26</v>
      </c>
    </row>
    <row r="820" spans="1:15" x14ac:dyDescent="0.35">
      <c r="A820" t="s">
        <v>1669</v>
      </c>
      <c r="B820" s="1" t="s">
        <v>1670</v>
      </c>
      <c r="C820" s="1" t="s">
        <v>130</v>
      </c>
      <c r="D820" s="1" t="s">
        <v>20</v>
      </c>
      <c r="E820" s="1" t="s">
        <v>30</v>
      </c>
      <c r="F820" s="1" t="s">
        <v>35</v>
      </c>
      <c r="G820" s="1" t="s">
        <v>841</v>
      </c>
      <c r="H820" s="1">
        <v>29</v>
      </c>
      <c r="I820" s="1" t="str">
        <f t="shared" si="12"/>
        <v>18-30</v>
      </c>
      <c r="J820" s="3">
        <v>43114</v>
      </c>
      <c r="K820" s="4">
        <v>80516</v>
      </c>
      <c r="L820" s="5">
        <v>0.05</v>
      </c>
      <c r="M820" s="1" t="s">
        <v>842</v>
      </c>
      <c r="N820" s="1" t="s">
        <v>843</v>
      </c>
      <c r="O820" s="6" t="s">
        <v>26</v>
      </c>
    </row>
    <row r="821" spans="1:15" x14ac:dyDescent="0.35">
      <c r="A821" t="s">
        <v>1671</v>
      </c>
      <c r="B821" s="1" t="s">
        <v>1672</v>
      </c>
      <c r="C821" s="1" t="s">
        <v>110</v>
      </c>
      <c r="D821" s="1" t="s">
        <v>56</v>
      </c>
      <c r="E821" s="1" t="s">
        <v>30</v>
      </c>
      <c r="F821" s="1" t="s">
        <v>35</v>
      </c>
      <c r="G821" s="1" t="s">
        <v>852</v>
      </c>
      <c r="H821" s="1">
        <v>28</v>
      </c>
      <c r="I821" s="1" t="str">
        <f t="shared" si="12"/>
        <v>18-30</v>
      </c>
      <c r="J821" s="3">
        <v>43121</v>
      </c>
      <c r="K821" s="4">
        <v>208210</v>
      </c>
      <c r="L821" s="5">
        <v>0.12</v>
      </c>
      <c r="M821" s="1" t="s">
        <v>834</v>
      </c>
      <c r="N821" s="1" t="s">
        <v>934</v>
      </c>
      <c r="O821" s="6" t="s">
        <v>26</v>
      </c>
    </row>
    <row r="822" spans="1:15" x14ac:dyDescent="0.35">
      <c r="A822" t="s">
        <v>1673</v>
      </c>
      <c r="B822" s="1" t="s">
        <v>1674</v>
      </c>
      <c r="C822" s="1" t="s">
        <v>29</v>
      </c>
      <c r="D822" s="1" t="s">
        <v>56</v>
      </c>
      <c r="E822" s="1" t="s">
        <v>41</v>
      </c>
      <c r="F822" s="1" t="s">
        <v>35</v>
      </c>
      <c r="G822" s="1" t="s">
        <v>841</v>
      </c>
      <c r="H822" s="1">
        <v>54</v>
      </c>
      <c r="I822" s="1" t="str">
        <f t="shared" si="12"/>
        <v>46-60</v>
      </c>
      <c r="J822" s="3">
        <v>43122</v>
      </c>
      <c r="K822" s="4">
        <v>176294</v>
      </c>
      <c r="L822" s="5">
        <v>7.0000000000000007E-2</v>
      </c>
      <c r="M822" s="1" t="s">
        <v>834</v>
      </c>
      <c r="N822" s="1" t="s">
        <v>849</v>
      </c>
      <c r="O822" s="6" t="s">
        <v>26</v>
      </c>
    </row>
    <row r="823" spans="1:15" x14ac:dyDescent="0.35">
      <c r="A823" t="s">
        <v>1675</v>
      </c>
      <c r="B823" s="1" t="s">
        <v>1676</v>
      </c>
      <c r="C823" s="1" t="s">
        <v>536</v>
      </c>
      <c r="D823" s="1" t="s">
        <v>3</v>
      </c>
      <c r="E823" s="1" t="s">
        <v>41</v>
      </c>
      <c r="F823" s="1" t="s">
        <v>35</v>
      </c>
      <c r="G823" s="1" t="s">
        <v>833</v>
      </c>
      <c r="H823" s="1">
        <v>28</v>
      </c>
      <c r="I823" s="1" t="str">
        <f t="shared" si="12"/>
        <v>18-30</v>
      </c>
      <c r="J823" s="3">
        <v>43122</v>
      </c>
      <c r="K823" s="4">
        <v>68176</v>
      </c>
      <c r="L823" s="5">
        <v>0.14000000000000001</v>
      </c>
      <c r="M823" s="1" t="s">
        <v>834</v>
      </c>
      <c r="N823" s="1" t="s">
        <v>934</v>
      </c>
      <c r="O823" s="6" t="s">
        <v>26</v>
      </c>
    </row>
    <row r="824" spans="1:15" x14ac:dyDescent="0.35">
      <c r="A824" t="s">
        <v>1677</v>
      </c>
      <c r="B824" s="1" t="s">
        <v>1678</v>
      </c>
      <c r="C824" s="1" t="s">
        <v>110</v>
      </c>
      <c r="D824" s="1" t="s">
        <v>20</v>
      </c>
      <c r="E824" s="1" t="s">
        <v>41</v>
      </c>
      <c r="F824" s="1" t="s">
        <v>35</v>
      </c>
      <c r="G824" s="1" t="s">
        <v>833</v>
      </c>
      <c r="H824" s="1">
        <v>30</v>
      </c>
      <c r="I824" s="1" t="str">
        <f t="shared" si="12"/>
        <v>18-30</v>
      </c>
      <c r="J824" s="3">
        <v>43165</v>
      </c>
      <c r="K824" s="4">
        <v>255431</v>
      </c>
      <c r="L824" s="5">
        <v>7.0000000000000007E-2</v>
      </c>
      <c r="M824" s="1" t="s">
        <v>834</v>
      </c>
      <c r="N824" s="1" t="s">
        <v>855</v>
      </c>
      <c r="O824" s="6" t="s">
        <v>26</v>
      </c>
    </row>
    <row r="825" spans="1:15" x14ac:dyDescent="0.35">
      <c r="A825" t="s">
        <v>1679</v>
      </c>
      <c r="B825" s="1" t="s">
        <v>1680</v>
      </c>
      <c r="C825" s="1" t="s">
        <v>45</v>
      </c>
      <c r="D825" s="1" t="s">
        <v>187</v>
      </c>
      <c r="E825" s="1" t="s">
        <v>41</v>
      </c>
      <c r="F825" s="1" t="s">
        <v>35</v>
      </c>
      <c r="G825" s="1" t="s">
        <v>833</v>
      </c>
      <c r="H825" s="1">
        <v>56</v>
      </c>
      <c r="I825" s="1" t="str">
        <f t="shared" si="12"/>
        <v>46-60</v>
      </c>
      <c r="J825" s="3">
        <v>43169</v>
      </c>
      <c r="K825" s="4">
        <v>90040</v>
      </c>
      <c r="L825" s="5">
        <v>0.15</v>
      </c>
      <c r="M825" s="1" t="s">
        <v>834</v>
      </c>
      <c r="N825" s="1" t="s">
        <v>846</v>
      </c>
      <c r="O825" s="6" t="s">
        <v>26</v>
      </c>
    </row>
    <row r="826" spans="1:15" x14ac:dyDescent="0.35">
      <c r="A826" t="s">
        <v>1681</v>
      </c>
      <c r="B826" s="1" t="s">
        <v>1682</v>
      </c>
      <c r="C826" s="1" t="s">
        <v>110</v>
      </c>
      <c r="D826" s="1" t="s">
        <v>1</v>
      </c>
      <c r="E826" s="1" t="s">
        <v>73</v>
      </c>
      <c r="F826" s="1" t="s">
        <v>22</v>
      </c>
      <c r="G826" s="1" t="s">
        <v>852</v>
      </c>
      <c r="H826" s="1">
        <v>36</v>
      </c>
      <c r="I826" s="1" t="str">
        <f t="shared" si="12"/>
        <v>31-45</v>
      </c>
      <c r="J826" s="3">
        <v>43178</v>
      </c>
      <c r="K826" s="4">
        <v>195200</v>
      </c>
      <c r="L826" s="5">
        <v>0.13</v>
      </c>
      <c r="M826" s="1" t="s">
        <v>834</v>
      </c>
      <c r="N826" s="1" t="s">
        <v>849</v>
      </c>
      <c r="O826" s="6" t="s">
        <v>26</v>
      </c>
    </row>
    <row r="827" spans="1:15" x14ac:dyDescent="0.35">
      <c r="A827" t="s">
        <v>1683</v>
      </c>
      <c r="B827" s="1" t="s">
        <v>1684</v>
      </c>
      <c r="C827" s="1" t="s">
        <v>335</v>
      </c>
      <c r="D827" s="1" t="s">
        <v>3</v>
      </c>
      <c r="E827" s="1" t="s">
        <v>73</v>
      </c>
      <c r="F827" s="1" t="s">
        <v>35</v>
      </c>
      <c r="G827" s="1" t="s">
        <v>852</v>
      </c>
      <c r="H827" s="1">
        <v>45</v>
      </c>
      <c r="I827" s="1" t="str">
        <f t="shared" si="12"/>
        <v>31-45</v>
      </c>
      <c r="J827" s="3">
        <v>43185</v>
      </c>
      <c r="K827" s="4">
        <v>86478</v>
      </c>
      <c r="L827" s="5">
        <v>0.15</v>
      </c>
      <c r="M827" s="1" t="s">
        <v>834</v>
      </c>
      <c r="N827" s="1" t="s">
        <v>849</v>
      </c>
      <c r="O827" s="6" t="s">
        <v>26</v>
      </c>
    </row>
    <row r="828" spans="1:15" x14ac:dyDescent="0.35">
      <c r="A828" t="s">
        <v>1685</v>
      </c>
      <c r="B828" s="1" t="s">
        <v>1686</v>
      </c>
      <c r="C828" s="1" t="s">
        <v>29</v>
      </c>
      <c r="D828" s="1" t="s">
        <v>20</v>
      </c>
      <c r="E828" s="1" t="s">
        <v>73</v>
      </c>
      <c r="F828" s="1" t="s">
        <v>35</v>
      </c>
      <c r="G828" s="1" t="s">
        <v>852</v>
      </c>
      <c r="H828" s="1">
        <v>45</v>
      </c>
      <c r="I828" s="1" t="str">
        <f t="shared" si="12"/>
        <v>31-45</v>
      </c>
      <c r="J828" s="3">
        <v>43212</v>
      </c>
      <c r="K828" s="4">
        <v>187205</v>
      </c>
      <c r="L828" s="5">
        <v>0.16</v>
      </c>
      <c r="M828" s="1" t="s">
        <v>834</v>
      </c>
      <c r="N828" s="1" t="s">
        <v>855</v>
      </c>
      <c r="O828" s="6">
        <v>44732</v>
      </c>
    </row>
    <row r="829" spans="1:15" x14ac:dyDescent="0.35">
      <c r="A829" t="s">
        <v>1687</v>
      </c>
      <c r="B829" s="1" t="s">
        <v>1688</v>
      </c>
      <c r="C829" s="1" t="s">
        <v>19</v>
      </c>
      <c r="D829" s="1" t="s">
        <v>20</v>
      </c>
      <c r="E829" s="1" t="s">
        <v>30</v>
      </c>
      <c r="F829" s="1" t="s">
        <v>22</v>
      </c>
      <c r="G829" s="1" t="s">
        <v>841</v>
      </c>
      <c r="H829" s="1">
        <v>45</v>
      </c>
      <c r="I829" s="1" t="str">
        <f t="shared" si="12"/>
        <v>31-45</v>
      </c>
      <c r="J829" s="3">
        <v>43217</v>
      </c>
      <c r="K829" s="4">
        <v>115490</v>
      </c>
      <c r="L829" s="5">
        <v>0.08</v>
      </c>
      <c r="M829" s="1" t="s">
        <v>834</v>
      </c>
      <c r="N829" s="1" t="s">
        <v>846</v>
      </c>
      <c r="O829" s="6" t="s">
        <v>26</v>
      </c>
    </row>
    <row r="830" spans="1:15" x14ac:dyDescent="0.35">
      <c r="A830" t="s">
        <v>1689</v>
      </c>
      <c r="B830" s="1" t="s">
        <v>1690</v>
      </c>
      <c r="C830" s="1" t="s">
        <v>2</v>
      </c>
      <c r="D830" s="1" t="s">
        <v>80</v>
      </c>
      <c r="E830" s="1" t="s">
        <v>21</v>
      </c>
      <c r="F830" s="1" t="s">
        <v>35</v>
      </c>
      <c r="G830" s="1" t="s">
        <v>833</v>
      </c>
      <c r="H830" s="1">
        <v>27</v>
      </c>
      <c r="I830" s="1" t="str">
        <f t="shared" si="12"/>
        <v>18-30</v>
      </c>
      <c r="J830" s="3">
        <v>43226</v>
      </c>
      <c r="K830" s="4">
        <v>49011</v>
      </c>
      <c r="L830" s="5">
        <v>0.13</v>
      </c>
      <c r="M830" s="1" t="s">
        <v>834</v>
      </c>
      <c r="N830" s="1" t="s">
        <v>846</v>
      </c>
      <c r="O830" s="6" t="s">
        <v>26</v>
      </c>
    </row>
    <row r="831" spans="1:15" x14ac:dyDescent="0.35">
      <c r="A831" t="s">
        <v>1691</v>
      </c>
      <c r="B831" s="1" t="s">
        <v>1692</v>
      </c>
      <c r="C831" s="1" t="s">
        <v>329</v>
      </c>
      <c r="D831" s="1" t="s">
        <v>3</v>
      </c>
      <c r="E831" s="1" t="s">
        <v>30</v>
      </c>
      <c r="F831" s="1" t="s">
        <v>35</v>
      </c>
      <c r="G831" s="1" t="s">
        <v>852</v>
      </c>
      <c r="H831" s="1">
        <v>39</v>
      </c>
      <c r="I831" s="1" t="str">
        <f t="shared" si="12"/>
        <v>31-45</v>
      </c>
      <c r="J831" s="3">
        <v>43229</v>
      </c>
      <c r="K831" s="4">
        <v>73317</v>
      </c>
      <c r="L831" s="5">
        <v>0.1</v>
      </c>
      <c r="M831" s="1" t="s">
        <v>834</v>
      </c>
      <c r="N831" s="1" t="s">
        <v>838</v>
      </c>
      <c r="O831" s="6" t="s">
        <v>26</v>
      </c>
    </row>
    <row r="832" spans="1:15" x14ac:dyDescent="0.35">
      <c r="A832" t="s">
        <v>1693</v>
      </c>
      <c r="B832" s="1" t="s">
        <v>1694</v>
      </c>
      <c r="C832" s="1" t="s">
        <v>183</v>
      </c>
      <c r="D832" s="1" t="s">
        <v>3</v>
      </c>
      <c r="E832" s="1" t="s">
        <v>41</v>
      </c>
      <c r="F832" s="1" t="s">
        <v>35</v>
      </c>
      <c r="G832" s="1" t="s">
        <v>833</v>
      </c>
      <c r="H832" s="1">
        <v>65</v>
      </c>
      <c r="I832" s="1" t="str">
        <f t="shared" si="12"/>
        <v>&gt;60</v>
      </c>
      <c r="J832" s="3">
        <v>43234</v>
      </c>
      <c r="K832" s="4">
        <v>60985</v>
      </c>
      <c r="L832" s="5">
        <v>0.08</v>
      </c>
      <c r="M832" s="1" t="s">
        <v>834</v>
      </c>
      <c r="N832" s="1" t="s">
        <v>934</v>
      </c>
      <c r="O832" s="6" t="s">
        <v>26</v>
      </c>
    </row>
    <row r="833" spans="1:15" x14ac:dyDescent="0.35">
      <c r="A833" t="s">
        <v>1695</v>
      </c>
      <c r="B833" s="1" t="s">
        <v>1696</v>
      </c>
      <c r="C833" s="1" t="s">
        <v>162</v>
      </c>
      <c r="D833" s="1" t="s">
        <v>1</v>
      </c>
      <c r="E833" s="1" t="s">
        <v>21</v>
      </c>
      <c r="F833" s="1" t="s">
        <v>35</v>
      </c>
      <c r="G833" s="1" t="s">
        <v>841</v>
      </c>
      <c r="H833" s="1">
        <v>29</v>
      </c>
      <c r="I833" s="1" t="str">
        <f t="shared" si="12"/>
        <v>18-30</v>
      </c>
      <c r="J833" s="3">
        <v>43239</v>
      </c>
      <c r="K833" s="4">
        <v>65334</v>
      </c>
      <c r="L833" s="5">
        <v>0.11</v>
      </c>
      <c r="M833" s="1" t="s">
        <v>842</v>
      </c>
      <c r="N833" s="1" t="s">
        <v>871</v>
      </c>
      <c r="O833" s="6" t="s">
        <v>26</v>
      </c>
    </row>
    <row r="834" spans="1:15" x14ac:dyDescent="0.35">
      <c r="A834" t="s">
        <v>1697</v>
      </c>
      <c r="B834" s="1" t="s">
        <v>1698</v>
      </c>
      <c r="C834" s="1" t="s">
        <v>29</v>
      </c>
      <c r="D834" s="1" t="s">
        <v>20</v>
      </c>
      <c r="E834" s="1" t="s">
        <v>73</v>
      </c>
      <c r="F834" s="1" t="s">
        <v>22</v>
      </c>
      <c r="G834" s="1" t="s">
        <v>833</v>
      </c>
      <c r="H834" s="1">
        <v>30</v>
      </c>
      <c r="I834" s="1" t="str">
        <f t="shared" si="12"/>
        <v>18-30</v>
      </c>
      <c r="J834" s="3">
        <v>43240</v>
      </c>
      <c r="K834" s="4">
        <v>184368</v>
      </c>
      <c r="L834" s="5">
        <v>0.17</v>
      </c>
      <c r="M834" s="1" t="s">
        <v>834</v>
      </c>
      <c r="N834" s="1" t="s">
        <v>849</v>
      </c>
      <c r="O834" s="6" t="s">
        <v>26</v>
      </c>
    </row>
    <row r="835" spans="1:15" x14ac:dyDescent="0.35">
      <c r="A835" t="s">
        <v>1699</v>
      </c>
      <c r="B835" s="1" t="s">
        <v>1700</v>
      </c>
      <c r="C835" s="1" t="s">
        <v>2</v>
      </c>
      <c r="D835" s="1" t="s">
        <v>187</v>
      </c>
      <c r="E835" s="1" t="s">
        <v>41</v>
      </c>
      <c r="F835" s="1" t="s">
        <v>35</v>
      </c>
      <c r="G835" s="1" t="s">
        <v>841</v>
      </c>
      <c r="H835" s="1">
        <v>33</v>
      </c>
      <c r="I835" s="1" t="str">
        <f t="shared" ref="I835:I898" si="13">IF(H835&gt;=60,"&gt;60",IF(H835&gt;=46,"46-60",IF(H835&gt;=31,"31-45",IF(H835&gt;18,"18-30",""))))</f>
        <v>31-45</v>
      </c>
      <c r="J835" s="3">
        <v>43247</v>
      </c>
      <c r="K835" s="4">
        <v>45049</v>
      </c>
      <c r="L835" s="5">
        <v>0.08</v>
      </c>
      <c r="M835" s="1" t="s">
        <v>834</v>
      </c>
      <c r="N835" s="1" t="s">
        <v>934</v>
      </c>
      <c r="O835" s="6" t="s">
        <v>26</v>
      </c>
    </row>
    <row r="836" spans="1:15" x14ac:dyDescent="0.35">
      <c r="A836" t="s">
        <v>1701</v>
      </c>
      <c r="B836" s="1" t="s">
        <v>1702</v>
      </c>
      <c r="C836" s="1" t="s">
        <v>169</v>
      </c>
      <c r="D836" s="1" t="s">
        <v>3</v>
      </c>
      <c r="E836" s="1" t="s">
        <v>21</v>
      </c>
      <c r="F836" s="1" t="s">
        <v>22</v>
      </c>
      <c r="G836" s="1" t="s">
        <v>833</v>
      </c>
      <c r="H836" s="1">
        <v>45</v>
      </c>
      <c r="I836" s="1" t="str">
        <f t="shared" si="13"/>
        <v>31-45</v>
      </c>
      <c r="J836" s="3">
        <v>43248</v>
      </c>
      <c r="K836" s="4">
        <v>49219</v>
      </c>
      <c r="L836" s="5">
        <v>0.08</v>
      </c>
      <c r="M836" s="1" t="s">
        <v>834</v>
      </c>
      <c r="N836" s="1" t="s">
        <v>855</v>
      </c>
      <c r="O836" s="6" t="s">
        <v>26</v>
      </c>
    </row>
    <row r="837" spans="1:15" x14ac:dyDescent="0.35">
      <c r="A837" t="s">
        <v>1703</v>
      </c>
      <c r="B837" s="1" t="s">
        <v>1704</v>
      </c>
      <c r="C837" s="1" t="s">
        <v>110</v>
      </c>
      <c r="D837" s="1" t="s">
        <v>80</v>
      </c>
      <c r="E837" s="1" t="s">
        <v>41</v>
      </c>
      <c r="F837" s="1" t="s">
        <v>35</v>
      </c>
      <c r="G837" s="1" t="s">
        <v>833</v>
      </c>
      <c r="H837" s="1">
        <v>48</v>
      </c>
      <c r="I837" s="1" t="str">
        <f t="shared" si="13"/>
        <v>46-60</v>
      </c>
      <c r="J837" s="3">
        <v>43253</v>
      </c>
      <c r="K837" s="4">
        <v>231567</v>
      </c>
      <c r="L837" s="5">
        <v>0.13</v>
      </c>
      <c r="M837" s="1" t="s">
        <v>834</v>
      </c>
      <c r="N837" s="1" t="s">
        <v>934</v>
      </c>
      <c r="O837" s="6" t="s">
        <v>26</v>
      </c>
    </row>
    <row r="838" spans="1:15" x14ac:dyDescent="0.35">
      <c r="A838" t="s">
        <v>1705</v>
      </c>
      <c r="B838" s="1" t="s">
        <v>1706</v>
      </c>
      <c r="C838" s="1" t="s">
        <v>60</v>
      </c>
      <c r="D838" s="1" t="s">
        <v>187</v>
      </c>
      <c r="E838" s="1" t="s">
        <v>21</v>
      </c>
      <c r="F838" s="1" t="s">
        <v>22</v>
      </c>
      <c r="G838" s="1" t="s">
        <v>841</v>
      </c>
      <c r="H838" s="1">
        <v>34</v>
      </c>
      <c r="I838" s="1" t="str">
        <f t="shared" si="13"/>
        <v>31-45</v>
      </c>
      <c r="J838" s="3">
        <v>43255</v>
      </c>
      <c r="K838" s="4">
        <v>128329</v>
      </c>
      <c r="L838" s="5">
        <v>0.14000000000000001</v>
      </c>
      <c r="M838" s="1" t="s">
        <v>834</v>
      </c>
      <c r="N838" s="1" t="s">
        <v>835</v>
      </c>
      <c r="O838" s="6" t="s">
        <v>26</v>
      </c>
    </row>
    <row r="839" spans="1:15" x14ac:dyDescent="0.35">
      <c r="A839" t="s">
        <v>1707</v>
      </c>
      <c r="B839" s="1" t="s">
        <v>1708</v>
      </c>
      <c r="C839" s="1" t="s">
        <v>45</v>
      </c>
      <c r="D839" s="1" t="s">
        <v>80</v>
      </c>
      <c r="E839" s="1" t="s">
        <v>73</v>
      </c>
      <c r="F839" s="1" t="s">
        <v>35</v>
      </c>
      <c r="G839" s="1" t="s">
        <v>833</v>
      </c>
      <c r="H839" s="1">
        <v>34</v>
      </c>
      <c r="I839" s="1" t="str">
        <f t="shared" si="13"/>
        <v>31-45</v>
      </c>
      <c r="J839" s="3">
        <v>43264</v>
      </c>
      <c r="K839" s="4">
        <v>77203</v>
      </c>
      <c r="L839" s="5">
        <v>0.12</v>
      </c>
      <c r="M839" s="1" t="s">
        <v>834</v>
      </c>
      <c r="N839" s="1" t="s">
        <v>846</v>
      </c>
      <c r="O839" s="6" t="s">
        <v>26</v>
      </c>
    </row>
    <row r="840" spans="1:15" x14ac:dyDescent="0.35">
      <c r="A840" t="s">
        <v>1709</v>
      </c>
      <c r="B840" s="1" t="s">
        <v>1710</v>
      </c>
      <c r="C840" s="1" t="s">
        <v>2</v>
      </c>
      <c r="D840" s="1" t="s">
        <v>61</v>
      </c>
      <c r="E840" s="1" t="s">
        <v>41</v>
      </c>
      <c r="F840" s="1" t="s">
        <v>22</v>
      </c>
      <c r="G840" s="1" t="s">
        <v>841</v>
      </c>
      <c r="H840" s="1">
        <v>30</v>
      </c>
      <c r="I840" s="1" t="str">
        <f t="shared" si="13"/>
        <v>18-30</v>
      </c>
      <c r="J840" s="3">
        <v>43272</v>
      </c>
      <c r="K840" s="4">
        <v>56154</v>
      </c>
      <c r="L840" s="5">
        <v>0.17</v>
      </c>
      <c r="M840" s="1" t="s">
        <v>842</v>
      </c>
      <c r="N840" s="1" t="s">
        <v>843</v>
      </c>
      <c r="O840" s="6" t="s">
        <v>26</v>
      </c>
    </row>
    <row r="841" spans="1:15" x14ac:dyDescent="0.35">
      <c r="A841" t="s">
        <v>1711</v>
      </c>
      <c r="B841" s="1" t="s">
        <v>1712</v>
      </c>
      <c r="C841" s="1" t="s">
        <v>29</v>
      </c>
      <c r="D841" s="1" t="s">
        <v>187</v>
      </c>
      <c r="E841" s="1" t="s">
        <v>41</v>
      </c>
      <c r="F841" s="1" t="s">
        <v>35</v>
      </c>
      <c r="G841" s="1" t="s">
        <v>841</v>
      </c>
      <c r="H841" s="1">
        <v>27</v>
      </c>
      <c r="I841" s="1" t="str">
        <f t="shared" si="13"/>
        <v>18-30</v>
      </c>
      <c r="J841" s="3">
        <v>43276</v>
      </c>
      <c r="K841" s="4">
        <v>174097</v>
      </c>
      <c r="L841" s="5">
        <v>0.16</v>
      </c>
      <c r="M841" s="1" t="s">
        <v>834</v>
      </c>
      <c r="N841" s="1" t="s">
        <v>835</v>
      </c>
      <c r="O841" s="6" t="s">
        <v>26</v>
      </c>
    </row>
    <row r="842" spans="1:15" x14ac:dyDescent="0.35">
      <c r="A842" t="s">
        <v>1713</v>
      </c>
      <c r="B842" s="1" t="s">
        <v>1714</v>
      </c>
      <c r="C842" s="1" t="s">
        <v>540</v>
      </c>
      <c r="D842" s="1" t="s">
        <v>20</v>
      </c>
      <c r="E842" s="1" t="s">
        <v>41</v>
      </c>
      <c r="F842" s="1" t="s">
        <v>22</v>
      </c>
      <c r="G842" s="1" t="s">
        <v>833</v>
      </c>
      <c r="H842" s="1">
        <v>57</v>
      </c>
      <c r="I842" s="1" t="str">
        <f t="shared" si="13"/>
        <v>46-60</v>
      </c>
      <c r="J842" s="3">
        <v>43299</v>
      </c>
      <c r="K842" s="4">
        <v>71167</v>
      </c>
      <c r="L842" s="5">
        <v>0.1</v>
      </c>
      <c r="M842" s="1" t="s">
        <v>834</v>
      </c>
      <c r="N842" s="1" t="s">
        <v>855</v>
      </c>
      <c r="O842" s="6" t="s">
        <v>26</v>
      </c>
    </row>
    <row r="843" spans="1:15" x14ac:dyDescent="0.35">
      <c r="A843" t="s">
        <v>1715</v>
      </c>
      <c r="B843" s="1" t="s">
        <v>1716</v>
      </c>
      <c r="C843" s="1" t="s">
        <v>102</v>
      </c>
      <c r="D843" s="1" t="s">
        <v>1</v>
      </c>
      <c r="E843" s="1" t="s">
        <v>73</v>
      </c>
      <c r="F843" s="1" t="s">
        <v>35</v>
      </c>
      <c r="G843" s="1" t="s">
        <v>841</v>
      </c>
      <c r="H843" s="1">
        <v>45</v>
      </c>
      <c r="I843" s="1" t="str">
        <f t="shared" si="13"/>
        <v>31-45</v>
      </c>
      <c r="J843" s="3">
        <v>43305</v>
      </c>
      <c r="K843" s="4">
        <v>148991</v>
      </c>
      <c r="L843" s="5">
        <v>0.05</v>
      </c>
      <c r="M843" s="1" t="s">
        <v>842</v>
      </c>
      <c r="N843" s="1" t="s">
        <v>843</v>
      </c>
      <c r="O843" s="6" t="s">
        <v>26</v>
      </c>
    </row>
    <row r="844" spans="1:15" x14ac:dyDescent="0.35">
      <c r="A844" t="s">
        <v>1717</v>
      </c>
      <c r="B844" s="1" t="s">
        <v>1718</v>
      </c>
      <c r="C844" s="1" t="s">
        <v>469</v>
      </c>
      <c r="D844" s="1" t="s">
        <v>3</v>
      </c>
      <c r="E844" s="1" t="s">
        <v>41</v>
      </c>
      <c r="F844" s="1" t="s">
        <v>35</v>
      </c>
      <c r="G844" s="1" t="s">
        <v>833</v>
      </c>
      <c r="H844" s="1">
        <v>47</v>
      </c>
      <c r="I844" s="1" t="str">
        <f t="shared" si="13"/>
        <v>46-60</v>
      </c>
      <c r="J844" s="3">
        <v>43309</v>
      </c>
      <c r="K844" s="4">
        <v>87806</v>
      </c>
      <c r="L844" s="5">
        <v>0.13</v>
      </c>
      <c r="M844" s="1" t="s">
        <v>834</v>
      </c>
      <c r="N844" s="1" t="s">
        <v>934</v>
      </c>
      <c r="O844" s="6" t="s">
        <v>26</v>
      </c>
    </row>
    <row r="845" spans="1:15" x14ac:dyDescent="0.35">
      <c r="A845" t="s">
        <v>1719</v>
      </c>
      <c r="B845" s="1" t="s">
        <v>1720</v>
      </c>
      <c r="C845" s="1" t="s">
        <v>45</v>
      </c>
      <c r="D845" s="1" t="s">
        <v>1</v>
      </c>
      <c r="E845" s="1" t="s">
        <v>73</v>
      </c>
      <c r="F845" s="1" t="s">
        <v>22</v>
      </c>
      <c r="G845" s="1" t="s">
        <v>833</v>
      </c>
      <c r="H845" s="1">
        <v>31</v>
      </c>
      <c r="I845" s="1" t="str">
        <f t="shared" si="13"/>
        <v>31-45</v>
      </c>
      <c r="J845" s="3">
        <v>43325</v>
      </c>
      <c r="K845" s="4">
        <v>81828</v>
      </c>
      <c r="L845" s="5">
        <v>0.05</v>
      </c>
      <c r="M845" s="1" t="s">
        <v>834</v>
      </c>
      <c r="N845" s="1" t="s">
        <v>838</v>
      </c>
      <c r="O845" s="6" t="s">
        <v>26</v>
      </c>
    </row>
    <row r="846" spans="1:15" x14ac:dyDescent="0.35">
      <c r="A846" t="s">
        <v>1721</v>
      </c>
      <c r="B846" s="1" t="s">
        <v>1722</v>
      </c>
      <c r="C846" s="1" t="s">
        <v>110</v>
      </c>
      <c r="D846" s="1" t="s">
        <v>80</v>
      </c>
      <c r="E846" s="1" t="s">
        <v>21</v>
      </c>
      <c r="F846" s="1" t="s">
        <v>22</v>
      </c>
      <c r="G846" s="1" t="s">
        <v>841</v>
      </c>
      <c r="H846" s="1">
        <v>36</v>
      </c>
      <c r="I846" s="1" t="str">
        <f t="shared" si="13"/>
        <v>31-45</v>
      </c>
      <c r="J846" s="3">
        <v>43330</v>
      </c>
      <c r="K846" s="4">
        <v>223404</v>
      </c>
      <c r="L846" s="5">
        <v>0.05</v>
      </c>
      <c r="M846" s="1" t="s">
        <v>834</v>
      </c>
      <c r="N846" s="1" t="s">
        <v>855</v>
      </c>
      <c r="O846" s="6" t="s">
        <v>26</v>
      </c>
    </row>
    <row r="847" spans="1:15" x14ac:dyDescent="0.35">
      <c r="A847" t="s">
        <v>1723</v>
      </c>
      <c r="B847" s="1" t="s">
        <v>1724</v>
      </c>
      <c r="C847" s="1" t="s">
        <v>234</v>
      </c>
      <c r="D847" s="1" t="s">
        <v>20</v>
      </c>
      <c r="E847" s="1" t="s">
        <v>30</v>
      </c>
      <c r="F847" s="1" t="s">
        <v>22</v>
      </c>
      <c r="G847" s="1" t="s">
        <v>833</v>
      </c>
      <c r="H847" s="1">
        <v>27</v>
      </c>
      <c r="I847" s="1" t="str">
        <f t="shared" si="13"/>
        <v>18-30</v>
      </c>
      <c r="J847" s="3">
        <v>43354</v>
      </c>
      <c r="K847" s="4">
        <v>80745</v>
      </c>
      <c r="L847" s="5">
        <v>0.12</v>
      </c>
      <c r="M847" s="1" t="s">
        <v>834</v>
      </c>
      <c r="N847" s="1" t="s">
        <v>846</v>
      </c>
      <c r="O847" s="6" t="s">
        <v>26</v>
      </c>
    </row>
    <row r="848" spans="1:15" x14ac:dyDescent="0.35">
      <c r="A848" t="s">
        <v>1725</v>
      </c>
      <c r="B848" s="1" t="s">
        <v>1726</v>
      </c>
      <c r="C848" s="1" t="s">
        <v>19</v>
      </c>
      <c r="D848" s="1" t="s">
        <v>20</v>
      </c>
      <c r="E848" s="1" t="s">
        <v>21</v>
      </c>
      <c r="F848" s="1" t="s">
        <v>22</v>
      </c>
      <c r="G848" s="1" t="s">
        <v>841</v>
      </c>
      <c r="H848" s="1">
        <v>56</v>
      </c>
      <c r="I848" s="1" t="str">
        <f t="shared" si="13"/>
        <v>46-60</v>
      </c>
      <c r="J848" s="3">
        <v>43363</v>
      </c>
      <c r="K848" s="4">
        <v>78938</v>
      </c>
      <c r="L848" s="5">
        <v>0.13</v>
      </c>
      <c r="M848" s="1" t="s">
        <v>834</v>
      </c>
      <c r="N848" s="1" t="s">
        <v>835</v>
      </c>
      <c r="O848" s="6" t="s">
        <v>26</v>
      </c>
    </row>
    <row r="849" spans="1:15" x14ac:dyDescent="0.35">
      <c r="A849" t="s">
        <v>1727</v>
      </c>
      <c r="B849" s="1" t="s">
        <v>1728</v>
      </c>
      <c r="C849" s="1" t="s">
        <v>234</v>
      </c>
      <c r="D849" s="1" t="s">
        <v>20</v>
      </c>
      <c r="E849" s="1" t="s">
        <v>21</v>
      </c>
      <c r="F849" s="1" t="s">
        <v>22</v>
      </c>
      <c r="G849" s="1" t="s">
        <v>841</v>
      </c>
      <c r="H849" s="1">
        <v>27</v>
      </c>
      <c r="I849" s="1" t="str">
        <f t="shared" si="13"/>
        <v>18-30</v>
      </c>
      <c r="J849" s="3">
        <v>43371</v>
      </c>
      <c r="K849" s="4">
        <v>64247</v>
      </c>
      <c r="L849" s="5">
        <v>0.08</v>
      </c>
      <c r="M849" s="1" t="s">
        <v>842</v>
      </c>
      <c r="N849" s="1" t="s">
        <v>871</v>
      </c>
      <c r="O849" s="6" t="s">
        <v>26</v>
      </c>
    </row>
    <row r="850" spans="1:15" x14ac:dyDescent="0.35">
      <c r="A850" t="s">
        <v>1729</v>
      </c>
      <c r="B850" s="1" t="s">
        <v>1730</v>
      </c>
      <c r="C850" s="1" t="s">
        <v>130</v>
      </c>
      <c r="D850" s="1" t="s">
        <v>20</v>
      </c>
      <c r="E850" s="1" t="s">
        <v>30</v>
      </c>
      <c r="F850" s="1" t="s">
        <v>35</v>
      </c>
      <c r="G850" s="1" t="s">
        <v>841</v>
      </c>
      <c r="H850" s="1">
        <v>47</v>
      </c>
      <c r="I850" s="1" t="str">
        <f t="shared" si="13"/>
        <v>46-60</v>
      </c>
      <c r="J850" s="3">
        <v>43375</v>
      </c>
      <c r="K850" s="4">
        <v>111404</v>
      </c>
      <c r="L850" s="5">
        <v>0.09</v>
      </c>
      <c r="M850" s="1" t="s">
        <v>842</v>
      </c>
      <c r="N850" s="1" t="s">
        <v>871</v>
      </c>
      <c r="O850" s="6" t="s">
        <v>26</v>
      </c>
    </row>
    <row r="851" spans="1:15" x14ac:dyDescent="0.35">
      <c r="A851" t="s">
        <v>1731</v>
      </c>
      <c r="B851" s="1" t="s">
        <v>1732</v>
      </c>
      <c r="C851" s="1" t="s">
        <v>29</v>
      </c>
      <c r="D851" s="1" t="s">
        <v>3</v>
      </c>
      <c r="E851" s="1" t="s">
        <v>41</v>
      </c>
      <c r="F851" s="1" t="s">
        <v>35</v>
      </c>
      <c r="G851" s="1" t="s">
        <v>833</v>
      </c>
      <c r="H851" s="1">
        <v>46</v>
      </c>
      <c r="I851" s="1" t="str">
        <f t="shared" si="13"/>
        <v>46-60</v>
      </c>
      <c r="J851" s="3">
        <v>43379</v>
      </c>
      <c r="K851" s="4">
        <v>166259</v>
      </c>
      <c r="L851" s="5">
        <v>0.05</v>
      </c>
      <c r="M851" s="1" t="s">
        <v>834</v>
      </c>
      <c r="N851" s="1" t="s">
        <v>846</v>
      </c>
      <c r="O851" s="6" t="s">
        <v>26</v>
      </c>
    </row>
    <row r="852" spans="1:15" x14ac:dyDescent="0.35">
      <c r="A852" t="s">
        <v>1733</v>
      </c>
      <c r="B852" s="1" t="s">
        <v>1734</v>
      </c>
      <c r="C852" s="1" t="s">
        <v>29</v>
      </c>
      <c r="D852" s="1" t="s">
        <v>1</v>
      </c>
      <c r="E852" s="1" t="s">
        <v>73</v>
      </c>
      <c r="F852" s="1" t="s">
        <v>35</v>
      </c>
      <c r="G852" s="1" t="s">
        <v>841</v>
      </c>
      <c r="H852" s="1">
        <v>27</v>
      </c>
      <c r="I852" s="1" t="str">
        <f t="shared" si="13"/>
        <v>18-30</v>
      </c>
      <c r="J852" s="3">
        <v>43397</v>
      </c>
      <c r="K852" s="4">
        <v>154973</v>
      </c>
      <c r="L852" s="5">
        <v>7.0000000000000007E-2</v>
      </c>
      <c r="M852" s="1" t="s">
        <v>842</v>
      </c>
      <c r="N852" s="1" t="s">
        <v>843</v>
      </c>
      <c r="O852" s="6" t="s">
        <v>26</v>
      </c>
    </row>
    <row r="853" spans="1:15" x14ac:dyDescent="0.35">
      <c r="A853" t="s">
        <v>1735</v>
      </c>
      <c r="B853" s="1" t="s">
        <v>1736</v>
      </c>
      <c r="C853" s="1" t="s">
        <v>102</v>
      </c>
      <c r="D853" s="1" t="s">
        <v>80</v>
      </c>
      <c r="E853" s="1" t="s">
        <v>30</v>
      </c>
      <c r="F853" s="1" t="s">
        <v>35</v>
      </c>
      <c r="G853" s="1" t="s">
        <v>852</v>
      </c>
      <c r="H853" s="1">
        <v>59</v>
      </c>
      <c r="I853" s="1" t="str">
        <f t="shared" si="13"/>
        <v>46-60</v>
      </c>
      <c r="J853" s="3">
        <v>43400</v>
      </c>
      <c r="K853" s="4">
        <v>139208</v>
      </c>
      <c r="L853" s="5">
        <v>0.16</v>
      </c>
      <c r="M853" s="1" t="s">
        <v>834</v>
      </c>
      <c r="N853" s="1" t="s">
        <v>849</v>
      </c>
      <c r="O853" s="6" t="s">
        <v>26</v>
      </c>
    </row>
    <row r="854" spans="1:15" x14ac:dyDescent="0.35">
      <c r="A854" t="s">
        <v>1737</v>
      </c>
      <c r="B854" s="1" t="s">
        <v>1738</v>
      </c>
      <c r="C854" s="1" t="s">
        <v>110</v>
      </c>
      <c r="D854" s="1" t="s">
        <v>80</v>
      </c>
      <c r="E854" s="1" t="s">
        <v>73</v>
      </c>
      <c r="F854" s="1" t="s">
        <v>35</v>
      </c>
      <c r="G854" s="1" t="s">
        <v>852</v>
      </c>
      <c r="H854" s="1">
        <v>38</v>
      </c>
      <c r="I854" s="1" t="str">
        <f t="shared" si="13"/>
        <v>31-45</v>
      </c>
      <c r="J854" s="3">
        <v>43413</v>
      </c>
      <c r="K854" s="4">
        <v>223805</v>
      </c>
      <c r="L854" s="5">
        <v>0.05</v>
      </c>
      <c r="M854" s="1" t="s">
        <v>834</v>
      </c>
      <c r="N854" s="1" t="s">
        <v>846</v>
      </c>
      <c r="O854" s="6" t="s">
        <v>26</v>
      </c>
    </row>
    <row r="855" spans="1:15" x14ac:dyDescent="0.35">
      <c r="A855" t="s">
        <v>1739</v>
      </c>
      <c r="B855" s="1" t="s">
        <v>1740</v>
      </c>
      <c r="C855" s="1" t="s">
        <v>658</v>
      </c>
      <c r="D855" s="1" t="s">
        <v>20</v>
      </c>
      <c r="E855" s="1" t="s">
        <v>73</v>
      </c>
      <c r="F855" s="1" t="s">
        <v>35</v>
      </c>
      <c r="G855" s="1" t="s">
        <v>833</v>
      </c>
      <c r="H855" s="1">
        <v>28</v>
      </c>
      <c r="I855" s="1" t="str">
        <f t="shared" si="13"/>
        <v>18-30</v>
      </c>
      <c r="J855" s="3">
        <v>43418</v>
      </c>
      <c r="K855" s="4">
        <v>115854</v>
      </c>
      <c r="L855" s="5">
        <v>0.09</v>
      </c>
      <c r="M855" s="1" t="s">
        <v>834</v>
      </c>
      <c r="N855" s="1" t="s">
        <v>835</v>
      </c>
      <c r="O855" s="6" t="s">
        <v>26</v>
      </c>
    </row>
    <row r="856" spans="1:15" x14ac:dyDescent="0.35">
      <c r="A856" t="s">
        <v>1741</v>
      </c>
      <c r="B856" s="1" t="s">
        <v>1742</v>
      </c>
      <c r="C856" s="1" t="s">
        <v>110</v>
      </c>
      <c r="D856" s="1" t="s">
        <v>80</v>
      </c>
      <c r="E856" s="1" t="s">
        <v>30</v>
      </c>
      <c r="F856" s="1" t="s">
        <v>22</v>
      </c>
      <c r="G856" s="1" t="s">
        <v>841</v>
      </c>
      <c r="H856" s="1">
        <v>29</v>
      </c>
      <c r="I856" s="1" t="str">
        <f t="shared" si="13"/>
        <v>18-30</v>
      </c>
      <c r="J856" s="3">
        <v>43439</v>
      </c>
      <c r="K856" s="4">
        <v>199504</v>
      </c>
      <c r="L856" s="5">
        <v>0.08</v>
      </c>
      <c r="M856" s="1" t="s">
        <v>834</v>
      </c>
      <c r="N856" s="1" t="s">
        <v>849</v>
      </c>
      <c r="O856" s="6" t="s">
        <v>26</v>
      </c>
    </row>
    <row r="857" spans="1:15" x14ac:dyDescent="0.35">
      <c r="A857" t="s">
        <v>1743</v>
      </c>
      <c r="B857" s="1" t="s">
        <v>1744</v>
      </c>
      <c r="C857" s="1" t="s">
        <v>29</v>
      </c>
      <c r="D857" s="1" t="s">
        <v>20</v>
      </c>
      <c r="E857" s="1" t="s">
        <v>30</v>
      </c>
      <c r="F857" s="1" t="s">
        <v>35</v>
      </c>
      <c r="G857" s="1" t="s">
        <v>841</v>
      </c>
      <c r="H857" s="1">
        <v>27</v>
      </c>
      <c r="I857" s="1" t="str">
        <f t="shared" si="13"/>
        <v>18-30</v>
      </c>
      <c r="J857" s="3">
        <v>43441</v>
      </c>
      <c r="K857" s="4">
        <v>170164</v>
      </c>
      <c r="L857" s="5">
        <v>0.11</v>
      </c>
      <c r="M857" s="1" t="s">
        <v>834</v>
      </c>
      <c r="N857" s="1" t="s">
        <v>849</v>
      </c>
      <c r="O857" s="6" t="s">
        <v>26</v>
      </c>
    </row>
    <row r="858" spans="1:15" x14ac:dyDescent="0.35">
      <c r="A858" t="s">
        <v>1745</v>
      </c>
      <c r="B858" s="1" t="s">
        <v>1746</v>
      </c>
      <c r="C858" s="1" t="s">
        <v>179</v>
      </c>
      <c r="D858" s="1" t="s">
        <v>3</v>
      </c>
      <c r="E858" s="1" t="s">
        <v>41</v>
      </c>
      <c r="F858" s="1" t="s">
        <v>22</v>
      </c>
      <c r="G858" s="1" t="s">
        <v>833</v>
      </c>
      <c r="H858" s="1">
        <v>29</v>
      </c>
      <c r="I858" s="1" t="str">
        <f t="shared" si="13"/>
        <v>18-30</v>
      </c>
      <c r="J858" s="3">
        <v>43444</v>
      </c>
      <c r="K858" s="4">
        <v>84596</v>
      </c>
      <c r="L858" s="5">
        <v>0.05</v>
      </c>
      <c r="M858" s="1" t="s">
        <v>834</v>
      </c>
      <c r="N858" s="1" t="s">
        <v>838</v>
      </c>
      <c r="O858" s="6" t="s">
        <v>26</v>
      </c>
    </row>
    <row r="859" spans="1:15" x14ac:dyDescent="0.35">
      <c r="A859" t="s">
        <v>1747</v>
      </c>
      <c r="B859" s="1" t="s">
        <v>1748</v>
      </c>
      <c r="C859" s="1" t="s">
        <v>540</v>
      </c>
      <c r="D859" s="1" t="s">
        <v>20</v>
      </c>
      <c r="E859" s="1" t="s">
        <v>30</v>
      </c>
      <c r="F859" s="1" t="s">
        <v>22</v>
      </c>
      <c r="G859" s="1" t="s">
        <v>833</v>
      </c>
      <c r="H859" s="1">
        <v>50</v>
      </c>
      <c r="I859" s="1" t="str">
        <f t="shared" si="13"/>
        <v>46-60</v>
      </c>
      <c r="J859" s="3">
        <v>43447</v>
      </c>
      <c r="K859" s="4">
        <v>63098</v>
      </c>
      <c r="L859" s="5">
        <v>0.06</v>
      </c>
      <c r="M859" s="1" t="s">
        <v>834</v>
      </c>
      <c r="N859" s="1" t="s">
        <v>855</v>
      </c>
      <c r="O859" s="6" t="s">
        <v>26</v>
      </c>
    </row>
    <row r="860" spans="1:15" x14ac:dyDescent="0.35">
      <c r="A860" t="s">
        <v>1749</v>
      </c>
      <c r="B860" s="1" t="s">
        <v>1750</v>
      </c>
      <c r="C860" s="1" t="s">
        <v>29</v>
      </c>
      <c r="D860" s="1" t="s">
        <v>1</v>
      </c>
      <c r="E860" s="1" t="s">
        <v>41</v>
      </c>
      <c r="F860" s="1" t="s">
        <v>35</v>
      </c>
      <c r="G860" s="1" t="s">
        <v>841</v>
      </c>
      <c r="H860" s="1">
        <v>50</v>
      </c>
      <c r="I860" s="1" t="str">
        <f t="shared" si="13"/>
        <v>46-60</v>
      </c>
      <c r="J860" s="3">
        <v>43452</v>
      </c>
      <c r="K860" s="4">
        <v>155351</v>
      </c>
      <c r="L860" s="5">
        <v>0.11</v>
      </c>
      <c r="M860" s="1" t="s">
        <v>834</v>
      </c>
      <c r="N860" s="1" t="s">
        <v>934</v>
      </c>
      <c r="O860" s="6" t="s">
        <v>26</v>
      </c>
    </row>
    <row r="861" spans="1:15" x14ac:dyDescent="0.35">
      <c r="A861" t="s">
        <v>1751</v>
      </c>
      <c r="B861" s="1" t="s">
        <v>1752</v>
      </c>
      <c r="C861" s="1" t="s">
        <v>40</v>
      </c>
      <c r="D861" s="1" t="s">
        <v>20</v>
      </c>
      <c r="E861" s="1" t="s">
        <v>21</v>
      </c>
      <c r="F861" s="1" t="s">
        <v>35</v>
      </c>
      <c r="G861" s="1" t="s">
        <v>833</v>
      </c>
      <c r="H861" s="1">
        <v>33</v>
      </c>
      <c r="I861" s="1" t="str">
        <f t="shared" si="13"/>
        <v>31-45</v>
      </c>
      <c r="J861" s="3">
        <v>43456</v>
      </c>
      <c r="K861" s="4">
        <v>83990</v>
      </c>
      <c r="L861" s="5">
        <v>0.1</v>
      </c>
      <c r="M861" s="1" t="s">
        <v>834</v>
      </c>
      <c r="N861" s="1" t="s">
        <v>846</v>
      </c>
      <c r="O861" s="6" t="s">
        <v>26</v>
      </c>
    </row>
    <row r="862" spans="1:15" x14ac:dyDescent="0.35">
      <c r="A862" t="s">
        <v>1753</v>
      </c>
      <c r="B862" s="1" t="s">
        <v>1754</v>
      </c>
      <c r="C862" s="1" t="s">
        <v>19</v>
      </c>
      <c r="D862" s="1" t="s">
        <v>20</v>
      </c>
      <c r="E862" s="1" t="s">
        <v>21</v>
      </c>
      <c r="F862" s="1" t="s">
        <v>35</v>
      </c>
      <c r="G862" s="1" t="s">
        <v>841</v>
      </c>
      <c r="H862" s="1">
        <v>37</v>
      </c>
      <c r="I862" s="1" t="str">
        <f t="shared" si="13"/>
        <v>31-45</v>
      </c>
      <c r="J862" s="3">
        <v>43461</v>
      </c>
      <c r="K862" s="4">
        <v>87359</v>
      </c>
      <c r="L862" s="5">
        <v>0.14000000000000001</v>
      </c>
      <c r="M862" s="1" t="s">
        <v>842</v>
      </c>
      <c r="N862" s="1" t="s">
        <v>871</v>
      </c>
      <c r="O862" s="6" t="s">
        <v>26</v>
      </c>
    </row>
    <row r="863" spans="1:15" x14ac:dyDescent="0.35">
      <c r="A863" t="s">
        <v>1755</v>
      </c>
      <c r="B863" s="1" t="s">
        <v>1756</v>
      </c>
      <c r="C863" s="1" t="s">
        <v>45</v>
      </c>
      <c r="D863" s="1" t="s">
        <v>187</v>
      </c>
      <c r="E863" s="1" t="s">
        <v>41</v>
      </c>
      <c r="F863" s="1" t="s">
        <v>35</v>
      </c>
      <c r="G863" s="1" t="s">
        <v>841</v>
      </c>
      <c r="H863" s="1">
        <v>44</v>
      </c>
      <c r="I863" s="1" t="str">
        <f t="shared" si="13"/>
        <v>31-45</v>
      </c>
      <c r="J863" s="3">
        <v>43467</v>
      </c>
      <c r="K863" s="4">
        <v>74691</v>
      </c>
      <c r="L863" s="5">
        <v>0.05</v>
      </c>
      <c r="M863" s="1" t="s">
        <v>842</v>
      </c>
      <c r="N863" s="1" t="s">
        <v>864</v>
      </c>
      <c r="O863" s="6">
        <v>44020</v>
      </c>
    </row>
    <row r="864" spans="1:15" x14ac:dyDescent="0.35">
      <c r="A864" t="s">
        <v>1757</v>
      </c>
      <c r="B864" s="1" t="s">
        <v>1758</v>
      </c>
      <c r="C864" s="1" t="s">
        <v>60</v>
      </c>
      <c r="D864" s="1" t="s">
        <v>187</v>
      </c>
      <c r="E864" s="1" t="s">
        <v>41</v>
      </c>
      <c r="F864" s="1" t="s">
        <v>22</v>
      </c>
      <c r="G864" s="1" t="s">
        <v>833</v>
      </c>
      <c r="H864" s="1">
        <v>57</v>
      </c>
      <c r="I864" s="1" t="str">
        <f t="shared" si="13"/>
        <v>46-60</v>
      </c>
      <c r="J864" s="3">
        <v>43484</v>
      </c>
      <c r="K864" s="4">
        <v>101577</v>
      </c>
      <c r="L864" s="5">
        <v>7.0000000000000007E-2</v>
      </c>
      <c r="M864" s="1" t="s">
        <v>834</v>
      </c>
      <c r="N864" s="1" t="s">
        <v>846</v>
      </c>
      <c r="O864" s="6" t="s">
        <v>26</v>
      </c>
    </row>
    <row r="865" spans="1:15" x14ac:dyDescent="0.35">
      <c r="A865" t="s">
        <v>1759</v>
      </c>
      <c r="B865" s="1" t="s">
        <v>1760</v>
      </c>
      <c r="C865" s="1" t="s">
        <v>102</v>
      </c>
      <c r="D865" s="1" t="s">
        <v>187</v>
      </c>
      <c r="E865" s="1" t="s">
        <v>73</v>
      </c>
      <c r="F865" s="1" t="s">
        <v>22</v>
      </c>
      <c r="G865" s="1" t="s">
        <v>841</v>
      </c>
      <c r="H865" s="1">
        <v>40</v>
      </c>
      <c r="I865" s="1" t="str">
        <f t="shared" si="13"/>
        <v>31-45</v>
      </c>
      <c r="J865" s="3">
        <v>43488</v>
      </c>
      <c r="K865" s="4">
        <v>159031</v>
      </c>
      <c r="L865" s="5">
        <v>0.1</v>
      </c>
      <c r="M865" s="1" t="s">
        <v>834</v>
      </c>
      <c r="N865" s="1" t="s">
        <v>838</v>
      </c>
      <c r="O865" s="6" t="s">
        <v>26</v>
      </c>
    </row>
    <row r="866" spans="1:15" x14ac:dyDescent="0.35">
      <c r="A866" t="s">
        <v>1761</v>
      </c>
      <c r="B866" s="1" t="s">
        <v>1762</v>
      </c>
      <c r="C866" s="1" t="s">
        <v>2</v>
      </c>
      <c r="D866" s="1" t="s">
        <v>187</v>
      </c>
      <c r="E866" s="1" t="s">
        <v>30</v>
      </c>
      <c r="F866" s="1" t="s">
        <v>35</v>
      </c>
      <c r="G866" s="1" t="s">
        <v>841</v>
      </c>
      <c r="H866" s="1">
        <v>26</v>
      </c>
      <c r="I866" s="1" t="str">
        <f t="shared" si="13"/>
        <v>18-30</v>
      </c>
      <c r="J866" s="3">
        <v>43489</v>
      </c>
      <c r="K866" s="4">
        <v>55767</v>
      </c>
      <c r="L866" s="5">
        <v>0.14000000000000001</v>
      </c>
      <c r="M866" s="1" t="s">
        <v>834</v>
      </c>
      <c r="N866" s="1" t="s">
        <v>835</v>
      </c>
      <c r="O866" s="6" t="s">
        <v>26</v>
      </c>
    </row>
    <row r="867" spans="1:15" x14ac:dyDescent="0.35">
      <c r="A867" t="s">
        <v>1763</v>
      </c>
      <c r="B867" s="1" t="s">
        <v>1764</v>
      </c>
      <c r="C867" s="1" t="s">
        <v>60</v>
      </c>
      <c r="D867" s="1" t="s">
        <v>187</v>
      </c>
      <c r="E867" s="1" t="s">
        <v>41</v>
      </c>
      <c r="F867" s="1" t="s">
        <v>22</v>
      </c>
      <c r="G867" s="1" t="s">
        <v>833</v>
      </c>
      <c r="H867" s="1">
        <v>29</v>
      </c>
      <c r="I867" s="1" t="str">
        <f t="shared" si="13"/>
        <v>18-30</v>
      </c>
      <c r="J867" s="3">
        <v>43490</v>
      </c>
      <c r="K867" s="4">
        <v>113527</v>
      </c>
      <c r="L867" s="5">
        <v>0.16</v>
      </c>
      <c r="M867" s="1" t="s">
        <v>834</v>
      </c>
      <c r="N867" s="1" t="s">
        <v>849</v>
      </c>
      <c r="O867" s="6" t="s">
        <v>26</v>
      </c>
    </row>
    <row r="868" spans="1:15" x14ac:dyDescent="0.35">
      <c r="A868" t="s">
        <v>1765</v>
      </c>
      <c r="B868" s="1" t="s">
        <v>1766</v>
      </c>
      <c r="C868" s="1" t="s">
        <v>29</v>
      </c>
      <c r="D868" s="1" t="s">
        <v>80</v>
      </c>
      <c r="E868" s="1" t="s">
        <v>73</v>
      </c>
      <c r="F868" s="1" t="s">
        <v>35</v>
      </c>
      <c r="G868" s="1" t="s">
        <v>841</v>
      </c>
      <c r="H868" s="1">
        <v>37</v>
      </c>
      <c r="I868" s="1" t="str">
        <f t="shared" si="13"/>
        <v>31-45</v>
      </c>
      <c r="J868" s="3">
        <v>43493</v>
      </c>
      <c r="K868" s="4">
        <v>165927</v>
      </c>
      <c r="L868" s="5">
        <v>0.08</v>
      </c>
      <c r="M868" s="1" t="s">
        <v>834</v>
      </c>
      <c r="N868" s="1" t="s">
        <v>835</v>
      </c>
      <c r="O868" s="6" t="s">
        <v>26</v>
      </c>
    </row>
    <row r="869" spans="1:15" x14ac:dyDescent="0.35">
      <c r="A869" t="s">
        <v>1767</v>
      </c>
      <c r="B869" s="1" t="s">
        <v>1768</v>
      </c>
      <c r="C869" s="1" t="s">
        <v>335</v>
      </c>
      <c r="D869" s="1" t="s">
        <v>3</v>
      </c>
      <c r="E869" s="1" t="s">
        <v>21</v>
      </c>
      <c r="F869" s="1" t="s">
        <v>22</v>
      </c>
      <c r="G869" s="1" t="s">
        <v>852</v>
      </c>
      <c r="H869" s="1">
        <v>40</v>
      </c>
      <c r="I869" s="1" t="str">
        <f t="shared" si="13"/>
        <v>31-45</v>
      </c>
      <c r="J869" s="3">
        <v>43520</v>
      </c>
      <c r="K869" s="4">
        <v>95899</v>
      </c>
      <c r="L869" s="5">
        <v>0.12</v>
      </c>
      <c r="M869" s="1" t="s">
        <v>834</v>
      </c>
      <c r="N869" s="1" t="s">
        <v>855</v>
      </c>
      <c r="O869" s="6">
        <v>44263</v>
      </c>
    </row>
    <row r="870" spans="1:15" x14ac:dyDescent="0.35">
      <c r="A870" t="s">
        <v>1769</v>
      </c>
      <c r="B870" s="1" t="s">
        <v>1770</v>
      </c>
      <c r="C870" s="1" t="s">
        <v>110</v>
      </c>
      <c r="D870" s="1" t="s">
        <v>56</v>
      </c>
      <c r="E870" s="1" t="s">
        <v>73</v>
      </c>
      <c r="F870" s="1" t="s">
        <v>35</v>
      </c>
      <c r="G870" s="1" t="s">
        <v>841</v>
      </c>
      <c r="H870" s="1">
        <v>45</v>
      </c>
      <c r="I870" s="1" t="str">
        <f t="shared" si="13"/>
        <v>31-45</v>
      </c>
      <c r="J870" s="3">
        <v>43521</v>
      </c>
      <c r="K870" s="4">
        <v>249801</v>
      </c>
      <c r="L870" s="5">
        <v>0.1</v>
      </c>
      <c r="M870" s="1" t="s">
        <v>842</v>
      </c>
      <c r="N870" s="1" t="s">
        <v>843</v>
      </c>
      <c r="O870" s="6" t="s">
        <v>26</v>
      </c>
    </row>
    <row r="871" spans="1:15" x14ac:dyDescent="0.35">
      <c r="A871" t="s">
        <v>1771</v>
      </c>
      <c r="B871" s="1" t="s">
        <v>1772</v>
      </c>
      <c r="C871" s="1" t="s">
        <v>65</v>
      </c>
      <c r="D871" s="1" t="s">
        <v>3</v>
      </c>
      <c r="E871" s="1" t="s">
        <v>73</v>
      </c>
      <c r="F871" s="1" t="s">
        <v>22</v>
      </c>
      <c r="G871" s="1" t="s">
        <v>852</v>
      </c>
      <c r="H871" s="1">
        <v>28</v>
      </c>
      <c r="I871" s="1" t="str">
        <f t="shared" si="13"/>
        <v>18-30</v>
      </c>
      <c r="J871" s="3">
        <v>43530</v>
      </c>
      <c r="K871" s="4">
        <v>90304</v>
      </c>
      <c r="L871" s="5">
        <v>0.05</v>
      </c>
      <c r="M871" s="1" t="s">
        <v>834</v>
      </c>
      <c r="N871" s="1" t="s">
        <v>846</v>
      </c>
      <c r="O871" s="6" t="s">
        <v>26</v>
      </c>
    </row>
    <row r="872" spans="1:15" x14ac:dyDescent="0.35">
      <c r="A872" t="s">
        <v>1773</v>
      </c>
      <c r="B872" s="1" t="s">
        <v>1774</v>
      </c>
      <c r="C872" s="1" t="s">
        <v>40</v>
      </c>
      <c r="D872" s="1" t="s">
        <v>20</v>
      </c>
      <c r="E872" s="1" t="s">
        <v>30</v>
      </c>
      <c r="F872" s="1" t="s">
        <v>35</v>
      </c>
      <c r="G872" s="1" t="s">
        <v>833</v>
      </c>
      <c r="H872" s="1">
        <v>39</v>
      </c>
      <c r="I872" s="1" t="str">
        <f t="shared" si="13"/>
        <v>31-45</v>
      </c>
      <c r="J872" s="3">
        <v>43536</v>
      </c>
      <c r="K872" s="4">
        <v>62644</v>
      </c>
      <c r="L872" s="5">
        <v>7.0000000000000007E-2</v>
      </c>
      <c r="M872" s="1" t="s">
        <v>834</v>
      </c>
      <c r="N872" s="1" t="s">
        <v>934</v>
      </c>
      <c r="O872" s="6" t="s">
        <v>26</v>
      </c>
    </row>
    <row r="873" spans="1:15" x14ac:dyDescent="0.35">
      <c r="A873" t="s">
        <v>1775</v>
      </c>
      <c r="B873" s="1" t="s">
        <v>1776</v>
      </c>
      <c r="C873" s="1" t="s">
        <v>144</v>
      </c>
      <c r="D873" s="1" t="s">
        <v>80</v>
      </c>
      <c r="E873" s="1" t="s">
        <v>41</v>
      </c>
      <c r="F873" s="1" t="s">
        <v>22</v>
      </c>
      <c r="G873" s="1" t="s">
        <v>833</v>
      </c>
      <c r="H873" s="1">
        <v>30</v>
      </c>
      <c r="I873" s="1" t="str">
        <f t="shared" si="13"/>
        <v>18-30</v>
      </c>
      <c r="J873" s="3">
        <v>43542</v>
      </c>
      <c r="K873" s="4">
        <v>54714</v>
      </c>
      <c r="L873" s="5">
        <v>0.09</v>
      </c>
      <c r="M873" s="1" t="s">
        <v>834</v>
      </c>
      <c r="N873" s="1" t="s">
        <v>855</v>
      </c>
      <c r="O873" s="6" t="s">
        <v>26</v>
      </c>
    </row>
    <row r="874" spans="1:15" x14ac:dyDescent="0.35">
      <c r="A874" t="s">
        <v>1777</v>
      </c>
      <c r="B874" s="1" t="s">
        <v>1778</v>
      </c>
      <c r="C874" s="1" t="s">
        <v>179</v>
      </c>
      <c r="D874" s="1" t="s">
        <v>3</v>
      </c>
      <c r="E874" s="1" t="s">
        <v>41</v>
      </c>
      <c r="F874" s="1" t="s">
        <v>22</v>
      </c>
      <c r="G874" s="1" t="s">
        <v>841</v>
      </c>
      <c r="H874" s="1">
        <v>26</v>
      </c>
      <c r="I874" s="1" t="str">
        <f t="shared" si="13"/>
        <v>18-30</v>
      </c>
      <c r="J874" s="3">
        <v>43569</v>
      </c>
      <c r="K874" s="4">
        <v>74467</v>
      </c>
      <c r="L874" s="5">
        <v>0.12</v>
      </c>
      <c r="M874" s="1" t="s">
        <v>834</v>
      </c>
      <c r="N874" s="1" t="s">
        <v>855</v>
      </c>
      <c r="O874" s="6">
        <v>44211</v>
      </c>
    </row>
    <row r="875" spans="1:15" x14ac:dyDescent="0.35">
      <c r="A875" t="s">
        <v>1779</v>
      </c>
      <c r="B875" s="1" t="s">
        <v>1780</v>
      </c>
      <c r="C875" s="1" t="s">
        <v>144</v>
      </c>
      <c r="D875" s="1" t="s">
        <v>80</v>
      </c>
      <c r="E875" s="1" t="s">
        <v>30</v>
      </c>
      <c r="F875" s="1" t="s">
        <v>35</v>
      </c>
      <c r="G875" s="1" t="s">
        <v>841</v>
      </c>
      <c r="H875" s="1">
        <v>26</v>
      </c>
      <c r="I875" s="1" t="str">
        <f t="shared" si="13"/>
        <v>18-30</v>
      </c>
      <c r="J875" s="3">
        <v>43578</v>
      </c>
      <c r="K875" s="4">
        <v>59817</v>
      </c>
      <c r="L875" s="5">
        <v>0.1</v>
      </c>
      <c r="M875" s="1" t="s">
        <v>842</v>
      </c>
      <c r="N875" s="1" t="s">
        <v>843</v>
      </c>
      <c r="O875" s="6" t="s">
        <v>26</v>
      </c>
    </row>
    <row r="876" spans="1:15" x14ac:dyDescent="0.35">
      <c r="A876" t="s">
        <v>1781</v>
      </c>
      <c r="B876" s="1" t="s">
        <v>1782</v>
      </c>
      <c r="C876" s="1" t="s">
        <v>55</v>
      </c>
      <c r="D876" s="1" t="s">
        <v>56</v>
      </c>
      <c r="E876" s="1" t="s">
        <v>73</v>
      </c>
      <c r="F876" s="1" t="s">
        <v>35</v>
      </c>
      <c r="G876" s="1" t="s">
        <v>841</v>
      </c>
      <c r="H876" s="1">
        <v>45</v>
      </c>
      <c r="I876" s="1" t="str">
        <f t="shared" si="13"/>
        <v>31-45</v>
      </c>
      <c r="J876" s="3">
        <v>43581</v>
      </c>
      <c r="K876" s="4">
        <v>74891</v>
      </c>
      <c r="L876" s="5">
        <v>0.13</v>
      </c>
      <c r="M876" s="1" t="s">
        <v>842</v>
      </c>
      <c r="N876" s="1" t="s">
        <v>871</v>
      </c>
      <c r="O876" s="6" t="s">
        <v>26</v>
      </c>
    </row>
    <row r="877" spans="1:15" x14ac:dyDescent="0.35">
      <c r="A877" t="s">
        <v>1783</v>
      </c>
      <c r="B877" s="1" t="s">
        <v>1784</v>
      </c>
      <c r="C877" s="1" t="s">
        <v>102</v>
      </c>
      <c r="D877" s="1" t="s">
        <v>56</v>
      </c>
      <c r="E877" s="1" t="s">
        <v>21</v>
      </c>
      <c r="F877" s="1" t="s">
        <v>22</v>
      </c>
      <c r="G877" s="1" t="s">
        <v>841</v>
      </c>
      <c r="H877" s="1">
        <v>29</v>
      </c>
      <c r="I877" s="1" t="str">
        <f t="shared" si="13"/>
        <v>18-30</v>
      </c>
      <c r="J877" s="3">
        <v>43594</v>
      </c>
      <c r="K877" s="4">
        <v>125828</v>
      </c>
      <c r="L877" s="5">
        <v>0.05</v>
      </c>
      <c r="M877" s="1" t="s">
        <v>842</v>
      </c>
      <c r="N877" s="1" t="s">
        <v>843</v>
      </c>
      <c r="O877" s="6" t="s">
        <v>26</v>
      </c>
    </row>
    <row r="878" spans="1:15" x14ac:dyDescent="0.35">
      <c r="A878" t="s">
        <v>1785</v>
      </c>
      <c r="B878" s="1" t="s">
        <v>1786</v>
      </c>
      <c r="C878" s="1" t="s">
        <v>29</v>
      </c>
      <c r="D878" s="1" t="s">
        <v>80</v>
      </c>
      <c r="E878" s="1" t="s">
        <v>30</v>
      </c>
      <c r="F878" s="1" t="s">
        <v>22</v>
      </c>
      <c r="G878" s="1" t="s">
        <v>833</v>
      </c>
      <c r="H878" s="1">
        <v>41</v>
      </c>
      <c r="I878" s="1" t="str">
        <f t="shared" si="13"/>
        <v>31-45</v>
      </c>
      <c r="J878" s="3">
        <v>43600</v>
      </c>
      <c r="K878" s="4">
        <v>174415</v>
      </c>
      <c r="L878" s="5">
        <v>0.1</v>
      </c>
      <c r="M878" s="1" t="s">
        <v>834</v>
      </c>
      <c r="N878" s="1" t="s">
        <v>838</v>
      </c>
      <c r="O878" s="6" t="s">
        <v>26</v>
      </c>
    </row>
    <row r="879" spans="1:15" x14ac:dyDescent="0.35">
      <c r="A879" t="s">
        <v>1787</v>
      </c>
      <c r="B879" s="1" t="s">
        <v>1788</v>
      </c>
      <c r="C879" s="1" t="s">
        <v>102</v>
      </c>
      <c r="D879" s="1" t="s">
        <v>61</v>
      </c>
      <c r="E879" s="1" t="s">
        <v>21</v>
      </c>
      <c r="F879" s="1" t="s">
        <v>35</v>
      </c>
      <c r="G879" s="1" t="s">
        <v>833</v>
      </c>
      <c r="H879" s="1">
        <v>29</v>
      </c>
      <c r="I879" s="1" t="str">
        <f t="shared" si="13"/>
        <v>18-30</v>
      </c>
      <c r="J879" s="3">
        <v>43609</v>
      </c>
      <c r="K879" s="4">
        <v>122350</v>
      </c>
      <c r="L879" s="5">
        <v>0.17</v>
      </c>
      <c r="M879" s="1" t="s">
        <v>834</v>
      </c>
      <c r="N879" s="1" t="s">
        <v>835</v>
      </c>
      <c r="O879" s="6" t="s">
        <v>26</v>
      </c>
    </row>
    <row r="880" spans="1:15" x14ac:dyDescent="0.35">
      <c r="A880" t="s">
        <v>1789</v>
      </c>
      <c r="B880" s="1" t="s">
        <v>1790</v>
      </c>
      <c r="C880" s="1" t="s">
        <v>2</v>
      </c>
      <c r="D880" s="1" t="s">
        <v>187</v>
      </c>
      <c r="E880" s="1" t="s">
        <v>41</v>
      </c>
      <c r="F880" s="1" t="s">
        <v>35</v>
      </c>
      <c r="G880" s="1" t="s">
        <v>833</v>
      </c>
      <c r="H880" s="1">
        <v>28</v>
      </c>
      <c r="I880" s="1" t="str">
        <f t="shared" si="13"/>
        <v>18-30</v>
      </c>
      <c r="J880" s="3">
        <v>43610</v>
      </c>
      <c r="K880" s="4">
        <v>45819</v>
      </c>
      <c r="L880" s="5">
        <v>0.08</v>
      </c>
      <c r="M880" s="1" t="s">
        <v>834</v>
      </c>
      <c r="N880" s="1" t="s">
        <v>838</v>
      </c>
      <c r="O880" s="6" t="s">
        <v>26</v>
      </c>
    </row>
    <row r="881" spans="1:15" x14ac:dyDescent="0.35">
      <c r="A881" t="s">
        <v>1791</v>
      </c>
      <c r="B881" s="1" t="s">
        <v>1792</v>
      </c>
      <c r="C881" s="1" t="s">
        <v>234</v>
      </c>
      <c r="D881" s="1" t="s">
        <v>20</v>
      </c>
      <c r="E881" s="1" t="s">
        <v>73</v>
      </c>
      <c r="F881" s="1" t="s">
        <v>22</v>
      </c>
      <c r="G881" s="1" t="s">
        <v>852</v>
      </c>
      <c r="H881" s="1">
        <v>27</v>
      </c>
      <c r="I881" s="1" t="str">
        <f t="shared" si="13"/>
        <v>18-30</v>
      </c>
      <c r="J881" s="3">
        <v>43613</v>
      </c>
      <c r="K881" s="4">
        <v>70110</v>
      </c>
      <c r="L881" s="5">
        <v>0.13</v>
      </c>
      <c r="M881" s="1" t="s">
        <v>834</v>
      </c>
      <c r="N881" s="1" t="s">
        <v>838</v>
      </c>
      <c r="O881" s="6">
        <v>44203</v>
      </c>
    </row>
    <row r="882" spans="1:15" x14ac:dyDescent="0.35">
      <c r="A882" t="s">
        <v>1793</v>
      </c>
      <c r="B882" s="1" t="s">
        <v>1794</v>
      </c>
      <c r="C882" s="1" t="s">
        <v>123</v>
      </c>
      <c r="D882" s="1" t="s">
        <v>3</v>
      </c>
      <c r="E882" s="1" t="s">
        <v>30</v>
      </c>
      <c r="F882" s="1" t="s">
        <v>22</v>
      </c>
      <c r="G882" s="1" t="s">
        <v>852</v>
      </c>
      <c r="H882" s="1">
        <v>28</v>
      </c>
      <c r="I882" s="1" t="str">
        <f t="shared" si="13"/>
        <v>18-30</v>
      </c>
      <c r="J882" s="3">
        <v>43633</v>
      </c>
      <c r="K882" s="4">
        <v>65341</v>
      </c>
      <c r="L882" s="5">
        <v>0.17</v>
      </c>
      <c r="M882" s="1" t="s">
        <v>834</v>
      </c>
      <c r="N882" s="1" t="s">
        <v>838</v>
      </c>
      <c r="O882" s="6">
        <v>44662</v>
      </c>
    </row>
    <row r="883" spans="1:15" x14ac:dyDescent="0.35">
      <c r="A883" t="s">
        <v>1795</v>
      </c>
      <c r="B883" s="1" t="s">
        <v>1796</v>
      </c>
      <c r="C883" s="1" t="s">
        <v>234</v>
      </c>
      <c r="D883" s="1" t="s">
        <v>20</v>
      </c>
      <c r="E883" s="1" t="s">
        <v>30</v>
      </c>
      <c r="F883" s="1" t="s">
        <v>35</v>
      </c>
      <c r="G883" s="1" t="s">
        <v>833</v>
      </c>
      <c r="H883" s="1">
        <v>45</v>
      </c>
      <c r="I883" s="1" t="str">
        <f t="shared" si="13"/>
        <v>31-45</v>
      </c>
      <c r="J883" s="3">
        <v>43635</v>
      </c>
      <c r="K883" s="4">
        <v>88045</v>
      </c>
      <c r="L883" s="5">
        <v>0.14000000000000001</v>
      </c>
      <c r="M883" s="1" t="s">
        <v>834</v>
      </c>
      <c r="N883" s="1" t="s">
        <v>846</v>
      </c>
      <c r="O883" s="6" t="s">
        <v>26</v>
      </c>
    </row>
    <row r="884" spans="1:15" x14ac:dyDescent="0.35">
      <c r="A884" t="s">
        <v>1797</v>
      </c>
      <c r="B884" s="1" t="s">
        <v>1798</v>
      </c>
      <c r="C884" s="1" t="s">
        <v>110</v>
      </c>
      <c r="D884" s="1" t="s">
        <v>80</v>
      </c>
      <c r="E884" s="1" t="s">
        <v>30</v>
      </c>
      <c r="F884" s="1" t="s">
        <v>22</v>
      </c>
      <c r="G884" s="1" t="s">
        <v>833</v>
      </c>
      <c r="H884" s="1">
        <v>28</v>
      </c>
      <c r="I884" s="1" t="str">
        <f t="shared" si="13"/>
        <v>18-30</v>
      </c>
      <c r="J884" s="3">
        <v>43638</v>
      </c>
      <c r="K884" s="4">
        <v>250767</v>
      </c>
      <c r="L884" s="5">
        <v>0.05</v>
      </c>
      <c r="M884" s="1" t="s">
        <v>834</v>
      </c>
      <c r="N884" s="1" t="s">
        <v>934</v>
      </c>
      <c r="O884" s="6" t="s">
        <v>26</v>
      </c>
    </row>
    <row r="885" spans="1:15" x14ac:dyDescent="0.35">
      <c r="A885" t="s">
        <v>1799</v>
      </c>
      <c r="B885" s="1" t="s">
        <v>1800</v>
      </c>
      <c r="C885" s="1" t="s">
        <v>183</v>
      </c>
      <c r="D885" s="1" t="s">
        <v>3</v>
      </c>
      <c r="E885" s="1" t="s">
        <v>30</v>
      </c>
      <c r="F885" s="1" t="s">
        <v>35</v>
      </c>
      <c r="G885" s="1" t="s">
        <v>841</v>
      </c>
      <c r="H885" s="1">
        <v>48</v>
      </c>
      <c r="I885" s="1" t="str">
        <f t="shared" si="13"/>
        <v>46-60</v>
      </c>
      <c r="J885" s="3">
        <v>43650</v>
      </c>
      <c r="K885" s="4">
        <v>76588</v>
      </c>
      <c r="L885" s="5">
        <v>0.09</v>
      </c>
      <c r="M885" s="1" t="s">
        <v>842</v>
      </c>
      <c r="N885" s="1" t="s">
        <v>871</v>
      </c>
      <c r="O885" s="6" t="s">
        <v>26</v>
      </c>
    </row>
    <row r="886" spans="1:15" x14ac:dyDescent="0.35">
      <c r="A886" t="s">
        <v>1801</v>
      </c>
      <c r="B886" s="1" t="s">
        <v>1802</v>
      </c>
      <c r="C886" s="1" t="s">
        <v>102</v>
      </c>
      <c r="D886" s="1" t="s">
        <v>187</v>
      </c>
      <c r="E886" s="1" t="s">
        <v>73</v>
      </c>
      <c r="F886" s="1" t="s">
        <v>35</v>
      </c>
      <c r="G886" s="1" t="s">
        <v>841</v>
      </c>
      <c r="H886" s="1">
        <v>28</v>
      </c>
      <c r="I886" s="1" t="str">
        <f t="shared" si="13"/>
        <v>18-30</v>
      </c>
      <c r="J886" s="3">
        <v>43652</v>
      </c>
      <c r="K886" s="4">
        <v>152036</v>
      </c>
      <c r="L886" s="5">
        <v>7.0000000000000007E-2</v>
      </c>
      <c r="M886" s="1" t="s">
        <v>842</v>
      </c>
      <c r="N886" s="1" t="s">
        <v>871</v>
      </c>
      <c r="O886" s="6" t="s">
        <v>26</v>
      </c>
    </row>
    <row r="887" spans="1:15" x14ac:dyDescent="0.35">
      <c r="A887" t="s">
        <v>1803</v>
      </c>
      <c r="B887" s="1" t="s">
        <v>1804</v>
      </c>
      <c r="C887" s="1" t="s">
        <v>335</v>
      </c>
      <c r="D887" s="1" t="s">
        <v>3</v>
      </c>
      <c r="E887" s="1" t="s">
        <v>21</v>
      </c>
      <c r="F887" s="1" t="s">
        <v>22</v>
      </c>
      <c r="G887" s="1" t="s">
        <v>833</v>
      </c>
      <c r="H887" s="1">
        <v>26</v>
      </c>
      <c r="I887" s="1" t="str">
        <f t="shared" si="13"/>
        <v>18-30</v>
      </c>
      <c r="J887" s="3">
        <v>43656</v>
      </c>
      <c r="K887" s="4">
        <v>69110</v>
      </c>
      <c r="L887" s="5">
        <v>0.06</v>
      </c>
      <c r="M887" s="1" t="s">
        <v>834</v>
      </c>
      <c r="N887" s="1" t="s">
        <v>846</v>
      </c>
      <c r="O887" s="6" t="s">
        <v>26</v>
      </c>
    </row>
    <row r="888" spans="1:15" x14ac:dyDescent="0.35">
      <c r="A888" t="s">
        <v>1805</v>
      </c>
      <c r="B888" s="1" t="s">
        <v>1806</v>
      </c>
      <c r="C888" s="1" t="s">
        <v>2</v>
      </c>
      <c r="D888" s="1" t="s">
        <v>61</v>
      </c>
      <c r="E888" s="1" t="s">
        <v>21</v>
      </c>
      <c r="F888" s="1" t="s">
        <v>35</v>
      </c>
      <c r="G888" s="1" t="s">
        <v>833</v>
      </c>
      <c r="H888" s="1">
        <v>43</v>
      </c>
      <c r="I888" s="1" t="str">
        <f t="shared" si="13"/>
        <v>31-45</v>
      </c>
      <c r="J888" s="3">
        <v>43659</v>
      </c>
      <c r="K888" s="4">
        <v>41545</v>
      </c>
      <c r="L888" s="5">
        <v>0.17</v>
      </c>
      <c r="M888" s="1" t="s">
        <v>834</v>
      </c>
      <c r="N888" s="1" t="s">
        <v>838</v>
      </c>
      <c r="O888" s="6" t="s">
        <v>26</v>
      </c>
    </row>
    <row r="889" spans="1:15" x14ac:dyDescent="0.35">
      <c r="A889" t="s">
        <v>1807</v>
      </c>
      <c r="B889" s="1" t="s">
        <v>1808</v>
      </c>
      <c r="C889" s="1" t="s">
        <v>110</v>
      </c>
      <c r="D889" s="1" t="s">
        <v>56</v>
      </c>
      <c r="E889" s="1" t="s">
        <v>21</v>
      </c>
      <c r="F889" s="1" t="s">
        <v>35</v>
      </c>
      <c r="G889" s="1" t="s">
        <v>852</v>
      </c>
      <c r="H889" s="1">
        <v>34</v>
      </c>
      <c r="I889" s="1" t="str">
        <f t="shared" si="13"/>
        <v>31-45</v>
      </c>
      <c r="J889" s="3">
        <v>43673</v>
      </c>
      <c r="K889" s="4">
        <v>220937</v>
      </c>
      <c r="L889" s="5">
        <v>0.08</v>
      </c>
      <c r="M889" s="1" t="s">
        <v>834</v>
      </c>
      <c r="N889" s="1" t="s">
        <v>849</v>
      </c>
      <c r="O889" s="6" t="s">
        <v>26</v>
      </c>
    </row>
    <row r="890" spans="1:15" x14ac:dyDescent="0.35">
      <c r="A890" t="s">
        <v>1809</v>
      </c>
      <c r="B890" s="1" t="s">
        <v>1810</v>
      </c>
      <c r="C890" s="1" t="s">
        <v>102</v>
      </c>
      <c r="D890" s="1" t="s">
        <v>80</v>
      </c>
      <c r="E890" s="1" t="s">
        <v>73</v>
      </c>
      <c r="F890" s="1" t="s">
        <v>22</v>
      </c>
      <c r="G890" s="1" t="s">
        <v>841</v>
      </c>
      <c r="H890" s="1">
        <v>44</v>
      </c>
      <c r="I890" s="1" t="str">
        <f t="shared" si="13"/>
        <v>31-45</v>
      </c>
      <c r="J890" s="3">
        <v>43685</v>
      </c>
      <c r="K890" s="4">
        <v>130133</v>
      </c>
      <c r="L890" s="5">
        <v>0.05</v>
      </c>
      <c r="M890" s="1" t="s">
        <v>834</v>
      </c>
      <c r="N890" s="1" t="s">
        <v>849</v>
      </c>
      <c r="O890" s="6">
        <v>44699</v>
      </c>
    </row>
    <row r="891" spans="1:15" x14ac:dyDescent="0.35">
      <c r="A891" t="s">
        <v>1811</v>
      </c>
      <c r="B891" s="1" t="s">
        <v>1812</v>
      </c>
      <c r="C891" s="1" t="s">
        <v>162</v>
      </c>
      <c r="D891" s="1" t="s">
        <v>1</v>
      </c>
      <c r="E891" s="1" t="s">
        <v>30</v>
      </c>
      <c r="F891" s="1" t="s">
        <v>35</v>
      </c>
      <c r="G891" s="1" t="s">
        <v>852</v>
      </c>
      <c r="H891" s="1">
        <v>26</v>
      </c>
      <c r="I891" s="1" t="str">
        <f t="shared" si="13"/>
        <v>18-30</v>
      </c>
      <c r="J891" s="3">
        <v>43698</v>
      </c>
      <c r="K891" s="4">
        <v>66084</v>
      </c>
      <c r="L891" s="5">
        <v>0.08</v>
      </c>
      <c r="M891" s="1" t="s">
        <v>834</v>
      </c>
      <c r="N891" s="1" t="s">
        <v>934</v>
      </c>
      <c r="O891" s="6" t="s">
        <v>26</v>
      </c>
    </row>
    <row r="892" spans="1:15" x14ac:dyDescent="0.35">
      <c r="A892" t="s">
        <v>1813</v>
      </c>
      <c r="B892" s="1" t="s">
        <v>1814</v>
      </c>
      <c r="C892" s="1" t="s">
        <v>329</v>
      </c>
      <c r="D892" s="1" t="s">
        <v>3</v>
      </c>
      <c r="E892" s="1" t="s">
        <v>73</v>
      </c>
      <c r="F892" s="1" t="s">
        <v>22</v>
      </c>
      <c r="G892" s="1" t="s">
        <v>833</v>
      </c>
      <c r="H892" s="1">
        <v>61</v>
      </c>
      <c r="I892" s="1" t="str">
        <f t="shared" si="13"/>
        <v>&gt;60</v>
      </c>
      <c r="J892" s="3">
        <v>43703</v>
      </c>
      <c r="K892" s="4">
        <v>75780</v>
      </c>
      <c r="L892" s="5">
        <v>0.06</v>
      </c>
      <c r="M892" s="1" t="s">
        <v>834</v>
      </c>
      <c r="N892" s="1" t="s">
        <v>934</v>
      </c>
      <c r="O892" s="6" t="s">
        <v>26</v>
      </c>
    </row>
    <row r="893" spans="1:15" x14ac:dyDescent="0.35">
      <c r="A893" t="s">
        <v>1815</v>
      </c>
      <c r="B893" s="1" t="s">
        <v>1816</v>
      </c>
      <c r="C893" s="1" t="s">
        <v>2</v>
      </c>
      <c r="D893" s="1" t="s">
        <v>1</v>
      </c>
      <c r="E893" s="1" t="s">
        <v>73</v>
      </c>
      <c r="F893" s="1" t="s">
        <v>22</v>
      </c>
      <c r="G893" s="1" t="s">
        <v>833</v>
      </c>
      <c r="H893" s="1">
        <v>37</v>
      </c>
      <c r="I893" s="1" t="str">
        <f t="shared" si="13"/>
        <v>31-45</v>
      </c>
      <c r="J893" s="3">
        <v>43713</v>
      </c>
      <c r="K893" s="4">
        <v>49998</v>
      </c>
      <c r="L893" s="5">
        <v>0.12</v>
      </c>
      <c r="M893" s="1" t="s">
        <v>834</v>
      </c>
      <c r="N893" s="1" t="s">
        <v>934</v>
      </c>
      <c r="O893" s="6" t="s">
        <v>26</v>
      </c>
    </row>
    <row r="894" spans="1:15" x14ac:dyDescent="0.35">
      <c r="A894" t="s">
        <v>1817</v>
      </c>
      <c r="B894" s="1" t="s">
        <v>1818</v>
      </c>
      <c r="C894" s="1" t="s">
        <v>45</v>
      </c>
      <c r="D894" s="1" t="s">
        <v>61</v>
      </c>
      <c r="E894" s="1" t="s">
        <v>73</v>
      </c>
      <c r="F894" s="1" t="s">
        <v>35</v>
      </c>
      <c r="G894" s="1" t="s">
        <v>833</v>
      </c>
      <c r="H894" s="1">
        <v>35</v>
      </c>
      <c r="I894" s="1" t="str">
        <f t="shared" si="13"/>
        <v>31-45</v>
      </c>
      <c r="J894" s="3">
        <v>43715</v>
      </c>
      <c r="K894" s="4">
        <v>70992</v>
      </c>
      <c r="L894" s="5">
        <v>0.1</v>
      </c>
      <c r="M894" s="1" t="s">
        <v>834</v>
      </c>
      <c r="N894" s="1" t="s">
        <v>849</v>
      </c>
      <c r="O894" s="6" t="s">
        <v>26</v>
      </c>
    </row>
    <row r="895" spans="1:15" x14ac:dyDescent="0.35">
      <c r="A895" t="s">
        <v>1819</v>
      </c>
      <c r="B895" s="1" t="s">
        <v>1820</v>
      </c>
      <c r="C895" s="1" t="s">
        <v>102</v>
      </c>
      <c r="D895" s="1" t="s">
        <v>1</v>
      </c>
      <c r="E895" s="1" t="s">
        <v>30</v>
      </c>
      <c r="F895" s="1" t="s">
        <v>35</v>
      </c>
      <c r="G895" s="1" t="s">
        <v>841</v>
      </c>
      <c r="H895" s="1">
        <v>27</v>
      </c>
      <c r="I895" s="1" t="str">
        <f t="shared" si="13"/>
        <v>18-30</v>
      </c>
      <c r="J895" s="3">
        <v>43721</v>
      </c>
      <c r="K895" s="4">
        <v>133297</v>
      </c>
      <c r="L895" s="5">
        <v>0.05</v>
      </c>
      <c r="M895" s="1" t="s">
        <v>842</v>
      </c>
      <c r="N895" s="1" t="s">
        <v>871</v>
      </c>
      <c r="O895" s="6" t="s">
        <v>26</v>
      </c>
    </row>
    <row r="896" spans="1:15" x14ac:dyDescent="0.35">
      <c r="A896" t="s">
        <v>1821</v>
      </c>
      <c r="B896" s="1" t="s">
        <v>1822</v>
      </c>
      <c r="C896" s="1" t="s">
        <v>110</v>
      </c>
      <c r="D896" s="1" t="s">
        <v>1</v>
      </c>
      <c r="E896" s="1" t="s">
        <v>30</v>
      </c>
      <c r="F896" s="1" t="s">
        <v>22</v>
      </c>
      <c r="G896" s="1" t="s">
        <v>841</v>
      </c>
      <c r="H896" s="1">
        <v>61</v>
      </c>
      <c r="I896" s="1" t="str">
        <f t="shared" si="13"/>
        <v>&gt;60</v>
      </c>
      <c r="J896" s="3">
        <v>43732</v>
      </c>
      <c r="K896" s="4">
        <v>201464</v>
      </c>
      <c r="L896" s="5">
        <v>0.12</v>
      </c>
      <c r="M896" s="1" t="s">
        <v>834</v>
      </c>
      <c r="N896" s="1" t="s">
        <v>846</v>
      </c>
      <c r="O896" s="6" t="s">
        <v>26</v>
      </c>
    </row>
    <row r="897" spans="1:15" x14ac:dyDescent="0.35">
      <c r="A897" t="s">
        <v>1823</v>
      </c>
      <c r="B897" s="1" t="s">
        <v>1824</v>
      </c>
      <c r="C897" s="1" t="s">
        <v>335</v>
      </c>
      <c r="D897" s="1" t="s">
        <v>3</v>
      </c>
      <c r="E897" s="1" t="s">
        <v>41</v>
      </c>
      <c r="F897" s="1" t="s">
        <v>35</v>
      </c>
      <c r="G897" s="1" t="s">
        <v>833</v>
      </c>
      <c r="H897" s="1">
        <v>26</v>
      </c>
      <c r="I897" s="1" t="str">
        <f t="shared" si="13"/>
        <v>18-30</v>
      </c>
      <c r="J897" s="3">
        <v>43735</v>
      </c>
      <c r="K897" s="4">
        <v>84913</v>
      </c>
      <c r="L897" s="5">
        <v>0.05</v>
      </c>
      <c r="M897" s="1" t="s">
        <v>834</v>
      </c>
      <c r="N897" s="1" t="s">
        <v>846</v>
      </c>
      <c r="O897" s="6" t="s">
        <v>26</v>
      </c>
    </row>
    <row r="898" spans="1:15" x14ac:dyDescent="0.35">
      <c r="A898" t="s">
        <v>1825</v>
      </c>
      <c r="B898" s="1" t="s">
        <v>1826</v>
      </c>
      <c r="C898" s="1" t="s">
        <v>45</v>
      </c>
      <c r="D898" s="1" t="s">
        <v>1</v>
      </c>
      <c r="E898" s="1" t="s">
        <v>73</v>
      </c>
      <c r="F898" s="1" t="s">
        <v>35</v>
      </c>
      <c r="G898" s="1" t="s">
        <v>833</v>
      </c>
      <c r="H898" s="1">
        <v>26</v>
      </c>
      <c r="I898" s="1" t="str">
        <f t="shared" si="13"/>
        <v>18-30</v>
      </c>
      <c r="J898" s="3">
        <v>43752</v>
      </c>
      <c r="K898" s="4">
        <v>79356</v>
      </c>
      <c r="L898" s="5">
        <v>0.06</v>
      </c>
      <c r="M898" s="1" t="s">
        <v>834</v>
      </c>
      <c r="N898" s="1" t="s">
        <v>835</v>
      </c>
      <c r="O898" s="6" t="s">
        <v>26</v>
      </c>
    </row>
    <row r="899" spans="1:15" x14ac:dyDescent="0.35">
      <c r="A899" t="s">
        <v>1827</v>
      </c>
      <c r="B899" s="1" t="s">
        <v>1828</v>
      </c>
      <c r="C899" s="1" t="s">
        <v>250</v>
      </c>
      <c r="D899" s="1" t="s">
        <v>3</v>
      </c>
      <c r="E899" s="1" t="s">
        <v>21</v>
      </c>
      <c r="F899" s="1" t="s">
        <v>22</v>
      </c>
      <c r="G899" s="1" t="s">
        <v>841</v>
      </c>
      <c r="H899" s="1">
        <v>29</v>
      </c>
      <c r="I899" s="1" t="str">
        <f t="shared" ref="I899:I962" si="14">IF(H899&gt;=60,"&gt;60",IF(H899&gt;=46,"46-60",IF(H899&gt;=31,"31-45",IF(H899&gt;18,"18-30",""))))</f>
        <v>18-30</v>
      </c>
      <c r="J899" s="3">
        <v>43753</v>
      </c>
      <c r="K899" s="4">
        <v>66819</v>
      </c>
      <c r="L899" s="5">
        <v>0.09</v>
      </c>
      <c r="M899" s="1" t="s">
        <v>842</v>
      </c>
      <c r="N899" s="1" t="s">
        <v>871</v>
      </c>
      <c r="O899" s="6" t="s">
        <v>26</v>
      </c>
    </row>
    <row r="900" spans="1:15" x14ac:dyDescent="0.35">
      <c r="A900" t="s">
        <v>1829</v>
      </c>
      <c r="B900" s="1" t="s">
        <v>1830</v>
      </c>
      <c r="C900" s="1" t="s">
        <v>29</v>
      </c>
      <c r="D900" s="1" t="s">
        <v>61</v>
      </c>
      <c r="E900" s="1" t="s">
        <v>21</v>
      </c>
      <c r="F900" s="1" t="s">
        <v>22</v>
      </c>
      <c r="G900" s="1" t="s">
        <v>833</v>
      </c>
      <c r="H900" s="1">
        <v>26</v>
      </c>
      <c r="I900" s="1" t="str">
        <f t="shared" si="14"/>
        <v>18-30</v>
      </c>
      <c r="J900" s="3">
        <v>43753</v>
      </c>
      <c r="K900" s="4">
        <v>151556</v>
      </c>
      <c r="L900" s="5">
        <v>0.14000000000000001</v>
      </c>
      <c r="M900" s="1" t="s">
        <v>834</v>
      </c>
      <c r="N900" s="1" t="s">
        <v>838</v>
      </c>
      <c r="O900" s="6" t="s">
        <v>26</v>
      </c>
    </row>
    <row r="901" spans="1:15" x14ac:dyDescent="0.35">
      <c r="A901" t="s">
        <v>1831</v>
      </c>
      <c r="B901" s="1" t="s">
        <v>1832</v>
      </c>
      <c r="C901" s="1" t="s">
        <v>102</v>
      </c>
      <c r="D901" s="1" t="s">
        <v>80</v>
      </c>
      <c r="E901" s="1" t="s">
        <v>21</v>
      </c>
      <c r="F901" s="1" t="s">
        <v>35</v>
      </c>
      <c r="G901" s="1" t="s">
        <v>841</v>
      </c>
      <c r="H901" s="1">
        <v>39</v>
      </c>
      <c r="I901" s="1" t="str">
        <f t="shared" si="14"/>
        <v>31-45</v>
      </c>
      <c r="J901" s="3">
        <v>43756</v>
      </c>
      <c r="K901" s="4">
        <v>122829</v>
      </c>
      <c r="L901" s="5">
        <v>0.06</v>
      </c>
      <c r="M901" s="1" t="s">
        <v>834</v>
      </c>
      <c r="N901" s="1" t="s">
        <v>846</v>
      </c>
      <c r="O901" s="6" t="s">
        <v>26</v>
      </c>
    </row>
    <row r="902" spans="1:15" x14ac:dyDescent="0.35">
      <c r="A902" t="s">
        <v>1833</v>
      </c>
      <c r="B902" s="1" t="s">
        <v>1834</v>
      </c>
      <c r="C902" s="1" t="s">
        <v>110</v>
      </c>
      <c r="D902" s="1" t="s">
        <v>61</v>
      </c>
      <c r="E902" s="1" t="s">
        <v>21</v>
      </c>
      <c r="F902" s="1" t="s">
        <v>22</v>
      </c>
      <c r="G902" s="1" t="s">
        <v>833</v>
      </c>
      <c r="H902" s="1">
        <v>27</v>
      </c>
      <c r="I902" s="1" t="str">
        <f t="shared" si="14"/>
        <v>18-30</v>
      </c>
      <c r="J902" s="3">
        <v>43758</v>
      </c>
      <c r="K902" s="4">
        <v>256420</v>
      </c>
      <c r="L902" s="5">
        <v>0.06</v>
      </c>
      <c r="M902" s="1" t="s">
        <v>834</v>
      </c>
      <c r="N902" s="1" t="s">
        <v>835</v>
      </c>
      <c r="O902" s="6" t="s">
        <v>26</v>
      </c>
    </row>
    <row r="903" spans="1:15" x14ac:dyDescent="0.35">
      <c r="A903" t="s">
        <v>1835</v>
      </c>
      <c r="B903" s="1" t="s">
        <v>1836</v>
      </c>
      <c r="C903" s="1" t="s">
        <v>102</v>
      </c>
      <c r="D903" s="1" t="s">
        <v>80</v>
      </c>
      <c r="E903" s="1" t="s">
        <v>41</v>
      </c>
      <c r="F903" s="1" t="s">
        <v>35</v>
      </c>
      <c r="G903" s="1" t="s">
        <v>852</v>
      </c>
      <c r="H903" s="1">
        <v>33</v>
      </c>
      <c r="I903" s="1" t="str">
        <f t="shared" si="14"/>
        <v>31-45</v>
      </c>
      <c r="J903" s="3">
        <v>43763</v>
      </c>
      <c r="K903" s="4">
        <v>131652</v>
      </c>
      <c r="L903" s="5">
        <v>0.08</v>
      </c>
      <c r="M903" s="1" t="s">
        <v>834</v>
      </c>
      <c r="N903" s="1" t="s">
        <v>934</v>
      </c>
      <c r="O903" s="6" t="s">
        <v>26</v>
      </c>
    </row>
    <row r="904" spans="1:15" x14ac:dyDescent="0.35">
      <c r="A904" t="s">
        <v>1837</v>
      </c>
      <c r="B904" s="1" t="s">
        <v>1838</v>
      </c>
      <c r="C904" s="1" t="s">
        <v>45</v>
      </c>
      <c r="D904" s="1" t="s">
        <v>1</v>
      </c>
      <c r="E904" s="1" t="s">
        <v>21</v>
      </c>
      <c r="F904" s="1" t="s">
        <v>22</v>
      </c>
      <c r="G904" s="1" t="s">
        <v>833</v>
      </c>
      <c r="H904" s="1">
        <v>30</v>
      </c>
      <c r="I904" s="1" t="str">
        <f t="shared" si="14"/>
        <v>18-30</v>
      </c>
      <c r="J904" s="3">
        <v>43773</v>
      </c>
      <c r="K904" s="4">
        <v>96092</v>
      </c>
      <c r="L904" s="5">
        <v>0.16</v>
      </c>
      <c r="M904" s="1" t="s">
        <v>834</v>
      </c>
      <c r="N904" s="1" t="s">
        <v>849</v>
      </c>
      <c r="O904" s="6" t="s">
        <v>26</v>
      </c>
    </row>
    <row r="905" spans="1:15" x14ac:dyDescent="0.35">
      <c r="A905" t="s">
        <v>1839</v>
      </c>
      <c r="B905" s="1" t="s">
        <v>1840</v>
      </c>
      <c r="C905" s="1" t="s">
        <v>342</v>
      </c>
      <c r="D905" s="1" t="s">
        <v>56</v>
      </c>
      <c r="E905" s="1" t="s">
        <v>21</v>
      </c>
      <c r="F905" s="1" t="s">
        <v>22</v>
      </c>
      <c r="G905" s="1" t="s">
        <v>833</v>
      </c>
      <c r="H905" s="1">
        <v>38</v>
      </c>
      <c r="I905" s="1" t="str">
        <f t="shared" si="14"/>
        <v>31-45</v>
      </c>
      <c r="J905" s="3">
        <v>43798</v>
      </c>
      <c r="K905" s="4">
        <v>69647</v>
      </c>
      <c r="L905" s="5">
        <v>0.06</v>
      </c>
      <c r="M905" s="1" t="s">
        <v>834</v>
      </c>
      <c r="N905" s="1" t="s">
        <v>838</v>
      </c>
      <c r="O905" s="6">
        <v>44671</v>
      </c>
    </row>
    <row r="906" spans="1:15" x14ac:dyDescent="0.35">
      <c r="A906" t="s">
        <v>1841</v>
      </c>
      <c r="B906" s="1" t="s">
        <v>1842</v>
      </c>
      <c r="C906" s="1" t="s">
        <v>29</v>
      </c>
      <c r="D906" s="1" t="s">
        <v>20</v>
      </c>
      <c r="E906" s="1" t="s">
        <v>30</v>
      </c>
      <c r="F906" s="1" t="s">
        <v>22</v>
      </c>
      <c r="G906" s="1" t="s">
        <v>841</v>
      </c>
      <c r="H906" s="1">
        <v>48</v>
      </c>
      <c r="I906" s="1" t="str">
        <f t="shared" si="14"/>
        <v>46-60</v>
      </c>
      <c r="J906" s="3">
        <v>43809</v>
      </c>
      <c r="K906" s="4">
        <v>183113</v>
      </c>
      <c r="L906" s="5">
        <v>7.0000000000000007E-2</v>
      </c>
      <c r="M906" s="1" t="s">
        <v>842</v>
      </c>
      <c r="N906" s="1" t="s">
        <v>871</v>
      </c>
      <c r="O906" s="6" t="s">
        <v>26</v>
      </c>
    </row>
    <row r="907" spans="1:15" x14ac:dyDescent="0.35">
      <c r="A907" t="s">
        <v>1843</v>
      </c>
      <c r="B907" s="1" t="s">
        <v>1844</v>
      </c>
      <c r="C907" s="1" t="s">
        <v>274</v>
      </c>
      <c r="D907" s="1" t="s">
        <v>3</v>
      </c>
      <c r="E907" s="1" t="s">
        <v>41</v>
      </c>
      <c r="F907" s="1" t="s">
        <v>35</v>
      </c>
      <c r="G907" s="1" t="s">
        <v>841</v>
      </c>
      <c r="H907" s="1">
        <v>36</v>
      </c>
      <c r="I907" s="1" t="str">
        <f t="shared" si="14"/>
        <v>31-45</v>
      </c>
      <c r="J907" s="3">
        <v>43818</v>
      </c>
      <c r="K907" s="4">
        <v>91954</v>
      </c>
      <c r="L907" s="5">
        <v>7.0000000000000007E-2</v>
      </c>
      <c r="M907" s="1" t="s">
        <v>834</v>
      </c>
      <c r="N907" s="1" t="s">
        <v>855</v>
      </c>
      <c r="O907" s="6" t="s">
        <v>26</v>
      </c>
    </row>
    <row r="908" spans="1:15" x14ac:dyDescent="0.35">
      <c r="A908" t="s">
        <v>1845</v>
      </c>
      <c r="B908" s="1" t="s">
        <v>1846</v>
      </c>
      <c r="C908" s="1" t="s">
        <v>144</v>
      </c>
      <c r="D908" s="1" t="s">
        <v>80</v>
      </c>
      <c r="E908" s="1" t="s">
        <v>73</v>
      </c>
      <c r="F908" s="1" t="s">
        <v>35</v>
      </c>
      <c r="G908" s="1" t="s">
        <v>833</v>
      </c>
      <c r="H908" s="1">
        <v>52</v>
      </c>
      <c r="I908" s="1" t="str">
        <f t="shared" si="14"/>
        <v>46-60</v>
      </c>
      <c r="J908" s="3">
        <v>43819</v>
      </c>
      <c r="K908" s="4">
        <v>61026</v>
      </c>
      <c r="L908" s="5">
        <v>0.12</v>
      </c>
      <c r="M908" s="1" t="s">
        <v>834</v>
      </c>
      <c r="N908" s="1" t="s">
        <v>835</v>
      </c>
      <c r="O908" s="6" t="s">
        <v>26</v>
      </c>
    </row>
    <row r="909" spans="1:15" x14ac:dyDescent="0.35">
      <c r="A909" t="s">
        <v>1847</v>
      </c>
      <c r="B909" s="1" t="s">
        <v>1848</v>
      </c>
      <c r="C909" s="1" t="s">
        <v>2</v>
      </c>
      <c r="D909" s="1" t="s">
        <v>187</v>
      </c>
      <c r="E909" s="1" t="s">
        <v>73</v>
      </c>
      <c r="F909" s="1" t="s">
        <v>35</v>
      </c>
      <c r="G909" s="1" t="s">
        <v>833</v>
      </c>
      <c r="H909" s="1">
        <v>56</v>
      </c>
      <c r="I909" s="1" t="str">
        <f t="shared" si="14"/>
        <v>46-60</v>
      </c>
      <c r="J909" s="3">
        <v>43824</v>
      </c>
      <c r="K909" s="4">
        <v>54829</v>
      </c>
      <c r="L909" s="5">
        <v>0.14000000000000001</v>
      </c>
      <c r="M909" s="1" t="s">
        <v>834</v>
      </c>
      <c r="N909" s="1" t="s">
        <v>835</v>
      </c>
      <c r="O909" s="6" t="s">
        <v>26</v>
      </c>
    </row>
    <row r="910" spans="1:15" x14ac:dyDescent="0.35">
      <c r="A910" t="s">
        <v>1849</v>
      </c>
      <c r="B910" s="1" t="s">
        <v>1850</v>
      </c>
      <c r="C910" s="1" t="s">
        <v>110</v>
      </c>
      <c r="D910" s="1" t="s">
        <v>187</v>
      </c>
      <c r="E910" s="1" t="s">
        <v>30</v>
      </c>
      <c r="F910" s="1" t="s">
        <v>35</v>
      </c>
      <c r="G910" s="1" t="s">
        <v>833</v>
      </c>
      <c r="H910" s="1">
        <v>36</v>
      </c>
      <c r="I910" s="1" t="str">
        <f t="shared" si="14"/>
        <v>31-45</v>
      </c>
      <c r="J910" s="3">
        <v>43843</v>
      </c>
      <c r="K910" s="4">
        <v>253294</v>
      </c>
      <c r="L910" s="5">
        <v>7.0000000000000007E-2</v>
      </c>
      <c r="M910" s="1" t="s">
        <v>834</v>
      </c>
      <c r="N910" s="1" t="s">
        <v>838</v>
      </c>
      <c r="O910" s="6" t="s">
        <v>26</v>
      </c>
    </row>
    <row r="911" spans="1:15" x14ac:dyDescent="0.35">
      <c r="A911" t="s">
        <v>1851</v>
      </c>
      <c r="B911" s="1" t="s">
        <v>1852</v>
      </c>
      <c r="C911" s="1" t="s">
        <v>29</v>
      </c>
      <c r="D911" s="1" t="s">
        <v>80</v>
      </c>
      <c r="E911" s="1" t="s">
        <v>73</v>
      </c>
      <c r="F911" s="1" t="s">
        <v>22</v>
      </c>
      <c r="G911" s="1" t="s">
        <v>833</v>
      </c>
      <c r="H911" s="1">
        <v>25</v>
      </c>
      <c r="I911" s="1" t="str">
        <f t="shared" si="14"/>
        <v>18-30</v>
      </c>
      <c r="J911" s="3">
        <v>43844</v>
      </c>
      <c r="K911" s="4">
        <v>168014</v>
      </c>
      <c r="L911" s="5">
        <v>0.1</v>
      </c>
      <c r="M911" s="1" t="s">
        <v>834</v>
      </c>
      <c r="N911" s="1" t="s">
        <v>846</v>
      </c>
      <c r="O911" s="6">
        <v>44404</v>
      </c>
    </row>
    <row r="912" spans="1:15" x14ac:dyDescent="0.35">
      <c r="A912" t="s">
        <v>1853</v>
      </c>
      <c r="B912" s="1" t="s">
        <v>1854</v>
      </c>
      <c r="C912" s="1" t="s">
        <v>2</v>
      </c>
      <c r="D912" s="1" t="s">
        <v>61</v>
      </c>
      <c r="E912" s="1" t="s">
        <v>73</v>
      </c>
      <c r="F912" s="1" t="s">
        <v>35</v>
      </c>
      <c r="G912" s="1" t="s">
        <v>833</v>
      </c>
      <c r="H912" s="1">
        <v>28</v>
      </c>
      <c r="I912" s="1" t="str">
        <f t="shared" si="14"/>
        <v>18-30</v>
      </c>
      <c r="J912" s="3">
        <v>43847</v>
      </c>
      <c r="K912" s="4">
        <v>45061</v>
      </c>
      <c r="L912" s="5">
        <v>0.06</v>
      </c>
      <c r="M912" s="1" t="s">
        <v>834</v>
      </c>
      <c r="N912" s="1" t="s">
        <v>838</v>
      </c>
      <c r="O912" s="6" t="s">
        <v>26</v>
      </c>
    </row>
    <row r="913" spans="1:15" x14ac:dyDescent="0.35">
      <c r="A913" t="s">
        <v>1855</v>
      </c>
      <c r="B913" s="1" t="s">
        <v>1856</v>
      </c>
      <c r="C913" s="1" t="s">
        <v>446</v>
      </c>
      <c r="D913" s="1" t="s">
        <v>20</v>
      </c>
      <c r="E913" s="1" t="s">
        <v>41</v>
      </c>
      <c r="F913" s="1" t="s">
        <v>35</v>
      </c>
      <c r="G913" s="1" t="s">
        <v>833</v>
      </c>
      <c r="H913" s="1">
        <v>25</v>
      </c>
      <c r="I913" s="1" t="str">
        <f t="shared" si="14"/>
        <v>18-30</v>
      </c>
      <c r="J913" s="3">
        <v>43850</v>
      </c>
      <c r="K913" s="4">
        <v>71359</v>
      </c>
      <c r="L913" s="5">
        <v>0.16</v>
      </c>
      <c r="M913" s="1" t="s">
        <v>834</v>
      </c>
      <c r="N913" s="1" t="s">
        <v>835</v>
      </c>
      <c r="O913" s="6" t="s">
        <v>26</v>
      </c>
    </row>
    <row r="914" spans="1:15" x14ac:dyDescent="0.35">
      <c r="A914" t="s">
        <v>1857</v>
      </c>
      <c r="B914" s="1" t="s">
        <v>1858</v>
      </c>
      <c r="C914" s="1" t="s">
        <v>65</v>
      </c>
      <c r="D914" s="1" t="s">
        <v>3</v>
      </c>
      <c r="E914" s="1" t="s">
        <v>41</v>
      </c>
      <c r="F914" s="1" t="s">
        <v>35</v>
      </c>
      <c r="G914" s="1" t="s">
        <v>833</v>
      </c>
      <c r="H914" s="1">
        <v>30</v>
      </c>
      <c r="I914" s="1" t="str">
        <f t="shared" si="14"/>
        <v>18-30</v>
      </c>
      <c r="J914" s="3">
        <v>43864</v>
      </c>
      <c r="K914" s="4">
        <v>94652</v>
      </c>
      <c r="L914" s="5">
        <v>0.05</v>
      </c>
      <c r="M914" s="1" t="s">
        <v>834</v>
      </c>
      <c r="N914" s="1" t="s">
        <v>934</v>
      </c>
      <c r="O914" s="6" t="s">
        <v>26</v>
      </c>
    </row>
    <row r="915" spans="1:15" x14ac:dyDescent="0.35">
      <c r="A915" t="s">
        <v>1859</v>
      </c>
      <c r="B915" s="1" t="s">
        <v>1860</v>
      </c>
      <c r="C915" s="1" t="s">
        <v>319</v>
      </c>
      <c r="D915" s="1" t="s">
        <v>1</v>
      </c>
      <c r="E915" s="1" t="s">
        <v>73</v>
      </c>
      <c r="F915" s="1" t="s">
        <v>22</v>
      </c>
      <c r="G915" s="1" t="s">
        <v>833</v>
      </c>
      <c r="H915" s="1">
        <v>32</v>
      </c>
      <c r="I915" s="1" t="str">
        <f t="shared" si="14"/>
        <v>31-45</v>
      </c>
      <c r="J915" s="3">
        <v>43864</v>
      </c>
      <c r="K915" s="4">
        <v>96598</v>
      </c>
      <c r="L915" s="5">
        <v>0.08</v>
      </c>
      <c r="M915" s="1" t="s">
        <v>834</v>
      </c>
      <c r="N915" s="1" t="s">
        <v>835</v>
      </c>
      <c r="O915" s="6" t="s">
        <v>26</v>
      </c>
    </row>
    <row r="916" spans="1:15" x14ac:dyDescent="0.35">
      <c r="A916" t="s">
        <v>1861</v>
      </c>
      <c r="B916" s="1" t="s">
        <v>1862</v>
      </c>
      <c r="C916" s="1" t="s">
        <v>65</v>
      </c>
      <c r="D916" s="1" t="s">
        <v>3</v>
      </c>
      <c r="E916" s="1" t="s">
        <v>30</v>
      </c>
      <c r="F916" s="1" t="s">
        <v>35</v>
      </c>
      <c r="G916" s="1" t="s">
        <v>833</v>
      </c>
      <c r="H916" s="1">
        <v>42</v>
      </c>
      <c r="I916" s="1" t="str">
        <f t="shared" si="14"/>
        <v>31-45</v>
      </c>
      <c r="J916" s="3">
        <v>43866</v>
      </c>
      <c r="K916" s="4">
        <v>96636</v>
      </c>
      <c r="L916" s="5">
        <v>0.16</v>
      </c>
      <c r="M916" s="1" t="s">
        <v>834</v>
      </c>
      <c r="N916" s="1" t="s">
        <v>855</v>
      </c>
      <c r="O916" s="6" t="s">
        <v>26</v>
      </c>
    </row>
    <row r="917" spans="1:15" x14ac:dyDescent="0.35">
      <c r="A917" t="s">
        <v>1863</v>
      </c>
      <c r="B917" s="1" t="s">
        <v>1864</v>
      </c>
      <c r="C917" s="1" t="s">
        <v>29</v>
      </c>
      <c r="D917" s="1" t="s">
        <v>20</v>
      </c>
      <c r="E917" s="1" t="s">
        <v>73</v>
      </c>
      <c r="F917" s="1" t="s">
        <v>22</v>
      </c>
      <c r="G917" s="1" t="s">
        <v>841</v>
      </c>
      <c r="H917" s="1">
        <v>40</v>
      </c>
      <c r="I917" s="1" t="str">
        <f t="shared" si="14"/>
        <v>31-45</v>
      </c>
      <c r="J917" s="3">
        <v>43868</v>
      </c>
      <c r="K917" s="4">
        <v>187187</v>
      </c>
      <c r="L917" s="5">
        <v>0.1</v>
      </c>
      <c r="M917" s="1" t="s">
        <v>842</v>
      </c>
      <c r="N917" s="1" t="s">
        <v>864</v>
      </c>
      <c r="O917" s="6" t="s">
        <v>26</v>
      </c>
    </row>
    <row r="918" spans="1:15" x14ac:dyDescent="0.35">
      <c r="A918" t="s">
        <v>1865</v>
      </c>
      <c r="B918" s="1" t="s">
        <v>1866</v>
      </c>
      <c r="C918" s="1" t="s">
        <v>60</v>
      </c>
      <c r="D918" s="1" t="s">
        <v>3</v>
      </c>
      <c r="E918" s="1" t="s">
        <v>73</v>
      </c>
      <c r="F918" s="1" t="s">
        <v>35</v>
      </c>
      <c r="G918" s="1" t="s">
        <v>833</v>
      </c>
      <c r="H918" s="1">
        <v>51</v>
      </c>
      <c r="I918" s="1" t="str">
        <f t="shared" si="14"/>
        <v>46-60</v>
      </c>
      <c r="J918" s="3">
        <v>43903</v>
      </c>
      <c r="K918" s="4">
        <v>107195</v>
      </c>
      <c r="L918" s="5">
        <v>0.1</v>
      </c>
      <c r="M918" s="1" t="s">
        <v>834</v>
      </c>
      <c r="N918" s="1" t="s">
        <v>849</v>
      </c>
      <c r="O918" s="6" t="s">
        <v>26</v>
      </c>
    </row>
    <row r="919" spans="1:15" x14ac:dyDescent="0.35">
      <c r="A919" t="s">
        <v>1867</v>
      </c>
      <c r="B919" s="1" t="s">
        <v>1868</v>
      </c>
      <c r="C919" s="1" t="s">
        <v>144</v>
      </c>
      <c r="D919" s="1" t="s">
        <v>61</v>
      </c>
      <c r="E919" s="1" t="s">
        <v>41</v>
      </c>
      <c r="F919" s="1" t="s">
        <v>35</v>
      </c>
      <c r="G919" s="1" t="s">
        <v>833</v>
      </c>
      <c r="H919" s="1">
        <v>33</v>
      </c>
      <c r="I919" s="1" t="str">
        <f t="shared" si="14"/>
        <v>31-45</v>
      </c>
      <c r="J919" s="3">
        <v>43904</v>
      </c>
      <c r="K919" s="4">
        <v>68846</v>
      </c>
      <c r="L919" s="5">
        <v>0.08</v>
      </c>
      <c r="M919" s="1" t="s">
        <v>834</v>
      </c>
      <c r="N919" s="1" t="s">
        <v>846</v>
      </c>
      <c r="O919" s="6" t="s">
        <v>26</v>
      </c>
    </row>
    <row r="920" spans="1:15" x14ac:dyDescent="0.35">
      <c r="A920" t="s">
        <v>1869</v>
      </c>
      <c r="B920" s="1" t="s">
        <v>1870</v>
      </c>
      <c r="C920" s="1" t="s">
        <v>60</v>
      </c>
      <c r="D920" s="1" t="s">
        <v>80</v>
      </c>
      <c r="E920" s="1" t="s">
        <v>41</v>
      </c>
      <c r="F920" s="1" t="s">
        <v>35</v>
      </c>
      <c r="G920" s="1" t="s">
        <v>833</v>
      </c>
      <c r="H920" s="1">
        <v>37</v>
      </c>
      <c r="I920" s="1" t="str">
        <f t="shared" si="14"/>
        <v>31-45</v>
      </c>
      <c r="J920" s="3">
        <v>43935</v>
      </c>
      <c r="K920" s="4">
        <v>103524</v>
      </c>
      <c r="L920" s="5">
        <v>0.16</v>
      </c>
      <c r="M920" s="1" t="s">
        <v>834</v>
      </c>
      <c r="N920" s="1" t="s">
        <v>835</v>
      </c>
      <c r="O920" s="6" t="s">
        <v>26</v>
      </c>
    </row>
    <row r="921" spans="1:15" x14ac:dyDescent="0.35">
      <c r="A921" t="s">
        <v>1871</v>
      </c>
      <c r="B921" s="1" t="s">
        <v>1872</v>
      </c>
      <c r="C921" s="1" t="s">
        <v>60</v>
      </c>
      <c r="D921" s="1" t="s">
        <v>80</v>
      </c>
      <c r="E921" s="1" t="s">
        <v>41</v>
      </c>
      <c r="F921" s="1" t="s">
        <v>22</v>
      </c>
      <c r="G921" s="1" t="s">
        <v>833</v>
      </c>
      <c r="H921" s="1">
        <v>32</v>
      </c>
      <c r="I921" s="1" t="str">
        <f t="shared" si="14"/>
        <v>31-45</v>
      </c>
      <c r="J921" s="3">
        <v>43936</v>
      </c>
      <c r="K921" s="4">
        <v>126671</v>
      </c>
      <c r="L921" s="5">
        <v>0.06</v>
      </c>
      <c r="M921" s="1" t="s">
        <v>834</v>
      </c>
      <c r="N921" s="1" t="s">
        <v>838</v>
      </c>
      <c r="O921" s="6" t="s">
        <v>26</v>
      </c>
    </row>
    <row r="922" spans="1:15" x14ac:dyDescent="0.35">
      <c r="A922" t="s">
        <v>1873</v>
      </c>
      <c r="B922" s="1" t="s">
        <v>1874</v>
      </c>
      <c r="C922" s="1" t="s">
        <v>536</v>
      </c>
      <c r="D922" s="1" t="s">
        <v>3</v>
      </c>
      <c r="E922" s="1" t="s">
        <v>73</v>
      </c>
      <c r="F922" s="1" t="s">
        <v>35</v>
      </c>
      <c r="G922" s="1" t="s">
        <v>841</v>
      </c>
      <c r="H922" s="1">
        <v>45</v>
      </c>
      <c r="I922" s="1" t="str">
        <f t="shared" si="14"/>
        <v>31-45</v>
      </c>
      <c r="J922" s="3">
        <v>43937</v>
      </c>
      <c r="K922" s="4">
        <v>66958</v>
      </c>
      <c r="L922" s="5">
        <v>7.0000000000000007E-2</v>
      </c>
      <c r="M922" s="1" t="s">
        <v>834</v>
      </c>
      <c r="N922" s="1" t="s">
        <v>838</v>
      </c>
      <c r="O922" s="6" t="s">
        <v>26</v>
      </c>
    </row>
    <row r="923" spans="1:15" x14ac:dyDescent="0.35">
      <c r="A923" t="s">
        <v>1875</v>
      </c>
      <c r="B923" s="1" t="s">
        <v>1876</v>
      </c>
      <c r="C923" s="1" t="s">
        <v>137</v>
      </c>
      <c r="D923" s="1" t="s">
        <v>3</v>
      </c>
      <c r="E923" s="1" t="s">
        <v>30</v>
      </c>
      <c r="F923" s="1" t="s">
        <v>22</v>
      </c>
      <c r="G923" s="1" t="s">
        <v>833</v>
      </c>
      <c r="H923" s="1">
        <v>47</v>
      </c>
      <c r="I923" s="1" t="str">
        <f t="shared" si="14"/>
        <v>46-60</v>
      </c>
      <c r="J923" s="3">
        <v>43944</v>
      </c>
      <c r="K923" s="4">
        <v>50069</v>
      </c>
      <c r="L923" s="5">
        <v>0.14000000000000001</v>
      </c>
      <c r="M923" s="1" t="s">
        <v>834</v>
      </c>
      <c r="N923" s="1" t="s">
        <v>934</v>
      </c>
      <c r="O923" s="6" t="s">
        <v>26</v>
      </c>
    </row>
    <row r="924" spans="1:15" x14ac:dyDescent="0.35">
      <c r="A924" t="s">
        <v>1877</v>
      </c>
      <c r="B924" s="1" t="s">
        <v>1878</v>
      </c>
      <c r="C924" s="1" t="s">
        <v>60</v>
      </c>
      <c r="D924" s="1" t="s">
        <v>3</v>
      </c>
      <c r="E924" s="1" t="s">
        <v>21</v>
      </c>
      <c r="F924" s="1" t="s">
        <v>35</v>
      </c>
      <c r="G924" s="1" t="s">
        <v>833</v>
      </c>
      <c r="H924" s="1">
        <v>57</v>
      </c>
      <c r="I924" s="1" t="str">
        <f t="shared" si="14"/>
        <v>46-60</v>
      </c>
      <c r="J924" s="3">
        <v>43948</v>
      </c>
      <c r="K924" s="4">
        <v>103058</v>
      </c>
      <c r="L924" s="5">
        <v>0.11</v>
      </c>
      <c r="M924" s="1" t="s">
        <v>834</v>
      </c>
      <c r="N924" s="1" t="s">
        <v>855</v>
      </c>
      <c r="O924" s="6" t="s">
        <v>26</v>
      </c>
    </row>
    <row r="925" spans="1:15" x14ac:dyDescent="0.35">
      <c r="A925" t="s">
        <v>1879</v>
      </c>
      <c r="B925" s="1" t="s">
        <v>1880</v>
      </c>
      <c r="C925" s="1" t="s">
        <v>102</v>
      </c>
      <c r="D925" s="1" t="s">
        <v>61</v>
      </c>
      <c r="E925" s="1" t="s">
        <v>73</v>
      </c>
      <c r="F925" s="1" t="s">
        <v>35</v>
      </c>
      <c r="G925" s="1" t="s">
        <v>841</v>
      </c>
      <c r="H925" s="1">
        <v>29</v>
      </c>
      <c r="I925" s="1" t="str">
        <f t="shared" si="14"/>
        <v>18-30</v>
      </c>
      <c r="J925" s="3">
        <v>43966</v>
      </c>
      <c r="K925" s="4">
        <v>137106</v>
      </c>
      <c r="L925" s="5">
        <v>0.06</v>
      </c>
      <c r="M925" s="1" t="s">
        <v>842</v>
      </c>
      <c r="N925" s="1" t="s">
        <v>843</v>
      </c>
      <c r="O925" s="6" t="s">
        <v>26</v>
      </c>
    </row>
    <row r="926" spans="1:15" x14ac:dyDescent="0.35">
      <c r="A926" t="s">
        <v>1881</v>
      </c>
      <c r="B926" s="1" t="s">
        <v>1882</v>
      </c>
      <c r="C926" s="1" t="s">
        <v>2</v>
      </c>
      <c r="D926" s="1" t="s">
        <v>80</v>
      </c>
      <c r="E926" s="1" t="s">
        <v>41</v>
      </c>
      <c r="F926" s="1" t="s">
        <v>22</v>
      </c>
      <c r="G926" s="1" t="s">
        <v>852</v>
      </c>
      <c r="H926" s="1">
        <v>25</v>
      </c>
      <c r="I926" s="1" t="str">
        <f t="shared" si="14"/>
        <v>18-30</v>
      </c>
      <c r="J926" s="3">
        <v>43967</v>
      </c>
      <c r="K926" s="4">
        <v>41336</v>
      </c>
      <c r="L926" s="5">
        <v>0.17</v>
      </c>
      <c r="M926" s="1" t="s">
        <v>834</v>
      </c>
      <c r="N926" s="1" t="s">
        <v>838</v>
      </c>
      <c r="O926" s="6">
        <v>44336</v>
      </c>
    </row>
    <row r="927" spans="1:15" x14ac:dyDescent="0.35">
      <c r="A927" t="s">
        <v>1883</v>
      </c>
      <c r="B927" s="1" t="s">
        <v>1884</v>
      </c>
      <c r="C927" s="1" t="s">
        <v>69</v>
      </c>
      <c r="D927" s="1" t="s">
        <v>20</v>
      </c>
      <c r="E927" s="1" t="s">
        <v>30</v>
      </c>
      <c r="F927" s="1" t="s">
        <v>22</v>
      </c>
      <c r="G927" s="1" t="s">
        <v>833</v>
      </c>
      <c r="H927" s="1">
        <v>47</v>
      </c>
      <c r="I927" s="1" t="str">
        <f t="shared" si="14"/>
        <v>46-60</v>
      </c>
      <c r="J927" s="3">
        <v>43990</v>
      </c>
      <c r="K927" s="4">
        <v>115765</v>
      </c>
      <c r="L927" s="5">
        <v>0.17</v>
      </c>
      <c r="M927" s="1" t="s">
        <v>834</v>
      </c>
      <c r="N927" s="1" t="s">
        <v>838</v>
      </c>
      <c r="O927" s="6">
        <v>44229</v>
      </c>
    </row>
    <row r="928" spans="1:15" x14ac:dyDescent="0.35">
      <c r="A928" t="s">
        <v>1885</v>
      </c>
      <c r="B928" s="1" t="s">
        <v>1886</v>
      </c>
      <c r="C928" s="1" t="s">
        <v>29</v>
      </c>
      <c r="D928" s="1" t="s">
        <v>1</v>
      </c>
      <c r="E928" s="1" t="s">
        <v>73</v>
      </c>
      <c r="F928" s="1" t="s">
        <v>35</v>
      </c>
      <c r="G928" s="1" t="s">
        <v>833</v>
      </c>
      <c r="H928" s="1">
        <v>63</v>
      </c>
      <c r="I928" s="1" t="str">
        <f t="shared" si="14"/>
        <v>&gt;60</v>
      </c>
      <c r="J928" s="3">
        <v>43996</v>
      </c>
      <c r="K928" s="4">
        <v>181216</v>
      </c>
      <c r="L928" s="5">
        <v>0.12</v>
      </c>
      <c r="M928" s="1" t="s">
        <v>834</v>
      </c>
      <c r="N928" s="1" t="s">
        <v>855</v>
      </c>
      <c r="O928" s="6" t="s">
        <v>26</v>
      </c>
    </row>
    <row r="929" spans="1:15" x14ac:dyDescent="0.35">
      <c r="A929" t="s">
        <v>1887</v>
      </c>
      <c r="B929" s="1" t="s">
        <v>1888</v>
      </c>
      <c r="C929" s="1" t="s">
        <v>137</v>
      </c>
      <c r="D929" s="1" t="s">
        <v>3</v>
      </c>
      <c r="E929" s="1" t="s">
        <v>21</v>
      </c>
      <c r="F929" s="1" t="s">
        <v>22</v>
      </c>
      <c r="G929" s="1" t="s">
        <v>841</v>
      </c>
      <c r="H929" s="1">
        <v>64</v>
      </c>
      <c r="I929" s="1" t="str">
        <f t="shared" si="14"/>
        <v>&gt;60</v>
      </c>
      <c r="J929" s="3">
        <v>44009</v>
      </c>
      <c r="K929" s="4">
        <v>40316</v>
      </c>
      <c r="L929" s="5">
        <v>0.08</v>
      </c>
      <c r="M929" s="1" t="s">
        <v>842</v>
      </c>
      <c r="N929" s="1" t="s">
        <v>864</v>
      </c>
      <c r="O929" s="6" t="s">
        <v>26</v>
      </c>
    </row>
    <row r="930" spans="1:15" x14ac:dyDescent="0.35">
      <c r="A930" t="s">
        <v>1889</v>
      </c>
      <c r="B930" s="1" t="s">
        <v>1890</v>
      </c>
      <c r="C930" s="1" t="s">
        <v>60</v>
      </c>
      <c r="D930" s="1" t="s">
        <v>3</v>
      </c>
      <c r="E930" s="1" t="s">
        <v>30</v>
      </c>
      <c r="F930" s="1" t="s">
        <v>35</v>
      </c>
      <c r="G930" s="1" t="s">
        <v>833</v>
      </c>
      <c r="H930" s="1">
        <v>27</v>
      </c>
      <c r="I930" s="1" t="str">
        <f t="shared" si="14"/>
        <v>18-30</v>
      </c>
      <c r="J930" s="3">
        <v>44013</v>
      </c>
      <c r="K930" s="4">
        <v>119746</v>
      </c>
      <c r="L930" s="5">
        <v>0.12</v>
      </c>
      <c r="M930" s="1" t="s">
        <v>834</v>
      </c>
      <c r="N930" s="1" t="s">
        <v>835</v>
      </c>
      <c r="O930" s="6" t="s">
        <v>26</v>
      </c>
    </row>
    <row r="931" spans="1:15" x14ac:dyDescent="0.35">
      <c r="A931" t="s">
        <v>1891</v>
      </c>
      <c r="B931" s="1" t="s">
        <v>1892</v>
      </c>
      <c r="C931" s="1" t="s">
        <v>60</v>
      </c>
      <c r="D931" s="1" t="s">
        <v>61</v>
      </c>
      <c r="E931" s="1" t="s">
        <v>21</v>
      </c>
      <c r="F931" s="1" t="s">
        <v>22</v>
      </c>
      <c r="G931" s="1" t="s">
        <v>833</v>
      </c>
      <c r="H931" s="1">
        <v>51</v>
      </c>
      <c r="I931" s="1" t="str">
        <f t="shared" si="14"/>
        <v>46-60</v>
      </c>
      <c r="J931" s="3">
        <v>44014</v>
      </c>
      <c r="K931" s="4">
        <v>100099</v>
      </c>
      <c r="L931" s="5">
        <v>7.0000000000000007E-2</v>
      </c>
      <c r="M931" s="1" t="s">
        <v>834</v>
      </c>
      <c r="N931" s="1" t="s">
        <v>838</v>
      </c>
      <c r="O931" s="6" t="s">
        <v>26</v>
      </c>
    </row>
    <row r="932" spans="1:15" x14ac:dyDescent="0.35">
      <c r="A932" t="s">
        <v>1893</v>
      </c>
      <c r="B932" s="1" t="s">
        <v>1894</v>
      </c>
      <c r="C932" s="1" t="s">
        <v>144</v>
      </c>
      <c r="D932" s="1" t="s">
        <v>61</v>
      </c>
      <c r="E932" s="1" t="s">
        <v>41</v>
      </c>
      <c r="F932" s="1" t="s">
        <v>22</v>
      </c>
      <c r="G932" s="1" t="s">
        <v>852</v>
      </c>
      <c r="H932" s="1">
        <v>35</v>
      </c>
      <c r="I932" s="1" t="str">
        <f t="shared" si="14"/>
        <v>31-45</v>
      </c>
      <c r="J932" s="3">
        <v>44015</v>
      </c>
      <c r="K932" s="4">
        <v>51513</v>
      </c>
      <c r="L932" s="5">
        <v>0.1</v>
      </c>
      <c r="M932" s="1" t="s">
        <v>834</v>
      </c>
      <c r="N932" s="1" t="s">
        <v>855</v>
      </c>
      <c r="O932" s="6" t="s">
        <v>26</v>
      </c>
    </row>
    <row r="933" spans="1:15" x14ac:dyDescent="0.35">
      <c r="A933" t="s">
        <v>1895</v>
      </c>
      <c r="B933" s="1" t="s">
        <v>1896</v>
      </c>
      <c r="C933" s="1" t="s">
        <v>658</v>
      </c>
      <c r="D933" s="1" t="s">
        <v>20</v>
      </c>
      <c r="E933" s="1" t="s">
        <v>21</v>
      </c>
      <c r="F933" s="1" t="s">
        <v>22</v>
      </c>
      <c r="G933" s="1" t="s">
        <v>841</v>
      </c>
      <c r="H933" s="1">
        <v>52</v>
      </c>
      <c r="I933" s="1" t="str">
        <f t="shared" si="14"/>
        <v>46-60</v>
      </c>
      <c r="J933" s="3">
        <v>44022</v>
      </c>
      <c r="K933" s="4">
        <v>88272</v>
      </c>
      <c r="L933" s="5">
        <v>0.05</v>
      </c>
      <c r="M933" s="1" t="s">
        <v>842</v>
      </c>
      <c r="N933" s="1" t="s">
        <v>843</v>
      </c>
      <c r="O933" s="6" t="s">
        <v>26</v>
      </c>
    </row>
    <row r="934" spans="1:15" x14ac:dyDescent="0.35">
      <c r="A934" t="s">
        <v>1897</v>
      </c>
      <c r="B934" s="1" t="s">
        <v>1898</v>
      </c>
      <c r="C934" s="1" t="s">
        <v>144</v>
      </c>
      <c r="D934" s="1" t="s">
        <v>80</v>
      </c>
      <c r="E934" s="1" t="s">
        <v>21</v>
      </c>
      <c r="F934" s="1" t="s">
        <v>35</v>
      </c>
      <c r="G934" s="1" t="s">
        <v>841</v>
      </c>
      <c r="H934" s="1">
        <v>25</v>
      </c>
      <c r="I934" s="1" t="str">
        <f t="shared" si="14"/>
        <v>18-30</v>
      </c>
      <c r="J934" s="3">
        <v>44024</v>
      </c>
      <c r="K934" s="4">
        <v>56565</v>
      </c>
      <c r="L934" s="5">
        <v>0.1</v>
      </c>
      <c r="M934" s="1" t="s">
        <v>842</v>
      </c>
      <c r="N934" s="1" t="s">
        <v>843</v>
      </c>
      <c r="O934" s="6" t="s">
        <v>26</v>
      </c>
    </row>
    <row r="935" spans="1:15" x14ac:dyDescent="0.35">
      <c r="A935" t="s">
        <v>1899</v>
      </c>
      <c r="B935" s="1" t="s">
        <v>1900</v>
      </c>
      <c r="C935" s="1" t="s">
        <v>102</v>
      </c>
      <c r="D935" s="1" t="s">
        <v>56</v>
      </c>
      <c r="E935" s="1" t="s">
        <v>30</v>
      </c>
      <c r="F935" s="1" t="s">
        <v>35</v>
      </c>
      <c r="G935" s="1" t="s">
        <v>841</v>
      </c>
      <c r="H935" s="1">
        <v>29</v>
      </c>
      <c r="I935" s="1" t="str">
        <f t="shared" si="14"/>
        <v>18-30</v>
      </c>
      <c r="J935" s="3">
        <v>44025</v>
      </c>
      <c r="K935" s="4">
        <v>141555</v>
      </c>
      <c r="L935" s="5">
        <v>0.16</v>
      </c>
      <c r="M935" s="1" t="s">
        <v>842</v>
      </c>
      <c r="N935" s="1" t="s">
        <v>864</v>
      </c>
      <c r="O935" s="6" t="s">
        <v>26</v>
      </c>
    </row>
    <row r="936" spans="1:15" x14ac:dyDescent="0.35">
      <c r="A936" t="s">
        <v>1901</v>
      </c>
      <c r="B936" s="1" t="s">
        <v>1902</v>
      </c>
      <c r="C936" s="1" t="s">
        <v>102</v>
      </c>
      <c r="D936" s="1" t="s">
        <v>61</v>
      </c>
      <c r="E936" s="1" t="s">
        <v>73</v>
      </c>
      <c r="F936" s="1" t="s">
        <v>22</v>
      </c>
      <c r="G936" s="1" t="s">
        <v>833</v>
      </c>
      <c r="H936" s="1">
        <v>30</v>
      </c>
      <c r="I936" s="1" t="str">
        <f t="shared" si="14"/>
        <v>18-30</v>
      </c>
      <c r="J936" s="3">
        <v>44030</v>
      </c>
      <c r="K936" s="4">
        <v>148485</v>
      </c>
      <c r="L936" s="5">
        <v>0.14000000000000001</v>
      </c>
      <c r="M936" s="1" t="s">
        <v>834</v>
      </c>
      <c r="N936" s="1" t="s">
        <v>838</v>
      </c>
      <c r="O936" s="6" t="s">
        <v>26</v>
      </c>
    </row>
    <row r="937" spans="1:15" x14ac:dyDescent="0.35">
      <c r="A937" t="s">
        <v>1903</v>
      </c>
      <c r="B937" s="1" t="s">
        <v>1904</v>
      </c>
      <c r="C937" s="1" t="s">
        <v>110</v>
      </c>
      <c r="D937" s="1" t="s">
        <v>3</v>
      </c>
      <c r="E937" s="1" t="s">
        <v>73</v>
      </c>
      <c r="F937" s="1" t="s">
        <v>35</v>
      </c>
      <c r="G937" s="1" t="s">
        <v>841</v>
      </c>
      <c r="H937" s="1">
        <v>32</v>
      </c>
      <c r="I937" s="1" t="str">
        <f t="shared" si="14"/>
        <v>31-45</v>
      </c>
      <c r="J937" s="3">
        <v>44034</v>
      </c>
      <c r="K937" s="4">
        <v>192749</v>
      </c>
      <c r="L937" s="5">
        <v>0.09</v>
      </c>
      <c r="M937" s="1" t="s">
        <v>834</v>
      </c>
      <c r="N937" s="1" t="s">
        <v>846</v>
      </c>
      <c r="O937" s="6" t="s">
        <v>26</v>
      </c>
    </row>
    <row r="938" spans="1:15" x14ac:dyDescent="0.35">
      <c r="A938" t="s">
        <v>1905</v>
      </c>
      <c r="B938" s="1" t="s">
        <v>1906</v>
      </c>
      <c r="C938" s="1" t="s">
        <v>45</v>
      </c>
      <c r="D938" s="1" t="s">
        <v>187</v>
      </c>
      <c r="E938" s="1" t="s">
        <v>73</v>
      </c>
      <c r="F938" s="1" t="s">
        <v>35</v>
      </c>
      <c r="G938" s="1" t="s">
        <v>833</v>
      </c>
      <c r="H938" s="1">
        <v>38</v>
      </c>
      <c r="I938" s="1" t="str">
        <f t="shared" si="14"/>
        <v>31-45</v>
      </c>
      <c r="J938" s="3">
        <v>44036</v>
      </c>
      <c r="K938" s="4">
        <v>89390</v>
      </c>
      <c r="L938" s="5">
        <v>0.08</v>
      </c>
      <c r="M938" s="1" t="s">
        <v>834</v>
      </c>
      <c r="N938" s="1" t="s">
        <v>934</v>
      </c>
      <c r="O938" s="6" t="s">
        <v>26</v>
      </c>
    </row>
    <row r="939" spans="1:15" x14ac:dyDescent="0.35">
      <c r="A939" t="s">
        <v>1907</v>
      </c>
      <c r="B939" s="1" t="s">
        <v>1908</v>
      </c>
      <c r="C939" s="1" t="s">
        <v>29</v>
      </c>
      <c r="D939" s="1" t="s">
        <v>187</v>
      </c>
      <c r="E939" s="1" t="s">
        <v>73</v>
      </c>
      <c r="F939" s="1" t="s">
        <v>22</v>
      </c>
      <c r="G939" s="1" t="s">
        <v>833</v>
      </c>
      <c r="H939" s="1">
        <v>26</v>
      </c>
      <c r="I939" s="1" t="str">
        <f t="shared" si="14"/>
        <v>18-30</v>
      </c>
      <c r="J939" s="3">
        <v>44040</v>
      </c>
      <c r="K939" s="4">
        <v>180664</v>
      </c>
      <c r="L939" s="5">
        <v>0.08</v>
      </c>
      <c r="M939" s="1" t="s">
        <v>834</v>
      </c>
      <c r="N939" s="1" t="s">
        <v>846</v>
      </c>
      <c r="O939" s="6" t="s">
        <v>26</v>
      </c>
    </row>
    <row r="940" spans="1:15" x14ac:dyDescent="0.35">
      <c r="A940" t="s">
        <v>1909</v>
      </c>
      <c r="B940" s="1" t="s">
        <v>1910</v>
      </c>
      <c r="C940" s="1" t="s">
        <v>335</v>
      </c>
      <c r="D940" s="1" t="s">
        <v>3</v>
      </c>
      <c r="E940" s="1" t="s">
        <v>41</v>
      </c>
      <c r="F940" s="1" t="s">
        <v>22</v>
      </c>
      <c r="G940" s="1" t="s">
        <v>833</v>
      </c>
      <c r="H940" s="1">
        <v>28</v>
      </c>
      <c r="I940" s="1" t="str">
        <f t="shared" si="14"/>
        <v>18-30</v>
      </c>
      <c r="J940" s="3">
        <v>44051</v>
      </c>
      <c r="K940" s="4">
        <v>73255</v>
      </c>
      <c r="L940" s="5">
        <v>0.14000000000000001</v>
      </c>
      <c r="M940" s="1" t="s">
        <v>834</v>
      </c>
      <c r="N940" s="1" t="s">
        <v>835</v>
      </c>
      <c r="O940" s="6" t="s">
        <v>26</v>
      </c>
    </row>
    <row r="941" spans="1:15" x14ac:dyDescent="0.35">
      <c r="A941" t="s">
        <v>1911</v>
      </c>
      <c r="B941" s="1" t="s">
        <v>1912</v>
      </c>
      <c r="C941" s="1" t="s">
        <v>29</v>
      </c>
      <c r="D941" s="1" t="s">
        <v>61</v>
      </c>
      <c r="E941" s="1" t="s">
        <v>73</v>
      </c>
      <c r="F941" s="1" t="s">
        <v>22</v>
      </c>
      <c r="G941" s="1" t="s">
        <v>833</v>
      </c>
      <c r="H941" s="1">
        <v>25</v>
      </c>
      <c r="I941" s="1" t="str">
        <f t="shared" si="14"/>
        <v>18-30</v>
      </c>
      <c r="J941" s="3">
        <v>44058</v>
      </c>
      <c r="K941" s="4">
        <v>172007</v>
      </c>
      <c r="L941" s="5">
        <v>0.15</v>
      </c>
      <c r="M941" s="1" t="s">
        <v>834</v>
      </c>
      <c r="N941" s="1" t="s">
        <v>838</v>
      </c>
      <c r="O941" s="6" t="s">
        <v>26</v>
      </c>
    </row>
    <row r="942" spans="1:15" x14ac:dyDescent="0.35">
      <c r="A942" t="s">
        <v>1913</v>
      </c>
      <c r="B942" s="1" t="s">
        <v>1914</v>
      </c>
      <c r="C942" s="1" t="s">
        <v>110</v>
      </c>
      <c r="D942" s="1" t="s">
        <v>1</v>
      </c>
      <c r="E942" s="1" t="s">
        <v>41</v>
      </c>
      <c r="F942" s="1" t="s">
        <v>35</v>
      </c>
      <c r="G942" s="1" t="s">
        <v>833</v>
      </c>
      <c r="H942" s="1">
        <v>31</v>
      </c>
      <c r="I942" s="1" t="str">
        <f t="shared" si="14"/>
        <v>31-45</v>
      </c>
      <c r="J942" s="3">
        <v>44063</v>
      </c>
      <c r="K942" s="4">
        <v>219693</v>
      </c>
      <c r="L942" s="5">
        <v>0.17</v>
      </c>
      <c r="M942" s="1" t="s">
        <v>834</v>
      </c>
      <c r="N942" s="1" t="s">
        <v>849</v>
      </c>
      <c r="O942" s="6" t="s">
        <v>26</v>
      </c>
    </row>
    <row r="943" spans="1:15" x14ac:dyDescent="0.35">
      <c r="A943" t="s">
        <v>1915</v>
      </c>
      <c r="B943" s="1" t="s">
        <v>1916</v>
      </c>
      <c r="C943" s="1" t="s">
        <v>29</v>
      </c>
      <c r="D943" s="1" t="s">
        <v>20</v>
      </c>
      <c r="E943" s="1" t="s">
        <v>21</v>
      </c>
      <c r="F943" s="1" t="s">
        <v>22</v>
      </c>
      <c r="G943" s="1" t="s">
        <v>841</v>
      </c>
      <c r="H943" s="1">
        <v>31</v>
      </c>
      <c r="I943" s="1" t="str">
        <f t="shared" si="14"/>
        <v>31-45</v>
      </c>
      <c r="J943" s="3">
        <v>44069</v>
      </c>
      <c r="K943" s="4">
        <v>189290</v>
      </c>
      <c r="L943" s="5">
        <v>0.11</v>
      </c>
      <c r="M943" s="1" t="s">
        <v>842</v>
      </c>
      <c r="N943" s="1" t="s">
        <v>843</v>
      </c>
      <c r="O943" s="6">
        <v>44099</v>
      </c>
    </row>
    <row r="944" spans="1:15" x14ac:dyDescent="0.35">
      <c r="A944" t="s">
        <v>1917</v>
      </c>
      <c r="B944" s="1" t="s">
        <v>1918</v>
      </c>
      <c r="C944" s="1" t="s">
        <v>45</v>
      </c>
      <c r="D944" s="1" t="s">
        <v>80</v>
      </c>
      <c r="E944" s="1" t="s">
        <v>30</v>
      </c>
      <c r="F944" s="1" t="s">
        <v>35</v>
      </c>
      <c r="G944" s="1" t="s">
        <v>833</v>
      </c>
      <c r="H944" s="1">
        <v>28</v>
      </c>
      <c r="I944" s="1" t="str">
        <f t="shared" si="14"/>
        <v>18-30</v>
      </c>
      <c r="J944" s="3">
        <v>44078</v>
      </c>
      <c r="K944" s="4">
        <v>95045</v>
      </c>
      <c r="L944" s="5">
        <v>0.15</v>
      </c>
      <c r="M944" s="1" t="s">
        <v>834</v>
      </c>
      <c r="N944" s="1" t="s">
        <v>846</v>
      </c>
      <c r="O944" s="6" t="s">
        <v>26</v>
      </c>
    </row>
    <row r="945" spans="1:15" x14ac:dyDescent="0.35">
      <c r="A945" t="s">
        <v>1919</v>
      </c>
      <c r="B945" s="1" t="s">
        <v>1920</v>
      </c>
      <c r="C945" s="1" t="s">
        <v>106</v>
      </c>
      <c r="D945" s="1" t="s">
        <v>56</v>
      </c>
      <c r="E945" s="1" t="s">
        <v>41</v>
      </c>
      <c r="F945" s="1" t="s">
        <v>35</v>
      </c>
      <c r="G945" s="1" t="s">
        <v>852</v>
      </c>
      <c r="H945" s="1">
        <v>42</v>
      </c>
      <c r="I945" s="1" t="str">
        <f t="shared" si="14"/>
        <v>31-45</v>
      </c>
      <c r="J945" s="3">
        <v>44092</v>
      </c>
      <c r="K945" s="4">
        <v>47071</v>
      </c>
      <c r="L945" s="5">
        <v>0.17</v>
      </c>
      <c r="M945" s="1" t="s">
        <v>834</v>
      </c>
      <c r="N945" s="1" t="s">
        <v>855</v>
      </c>
      <c r="O945" s="6" t="s">
        <v>26</v>
      </c>
    </row>
    <row r="946" spans="1:15" x14ac:dyDescent="0.35">
      <c r="A946" t="s">
        <v>1921</v>
      </c>
      <c r="B946" s="1" t="s">
        <v>1922</v>
      </c>
      <c r="C946" s="1" t="s">
        <v>29</v>
      </c>
      <c r="D946" s="1" t="s">
        <v>56</v>
      </c>
      <c r="E946" s="1" t="s">
        <v>73</v>
      </c>
      <c r="F946" s="1" t="s">
        <v>35</v>
      </c>
      <c r="G946" s="1" t="s">
        <v>841</v>
      </c>
      <c r="H946" s="1">
        <v>40</v>
      </c>
      <c r="I946" s="1" t="str">
        <f t="shared" si="14"/>
        <v>31-45</v>
      </c>
      <c r="J946" s="3">
        <v>44094</v>
      </c>
      <c r="K946" s="4">
        <v>198176</v>
      </c>
      <c r="L946" s="5">
        <v>0.1</v>
      </c>
      <c r="M946" s="1" t="s">
        <v>842</v>
      </c>
      <c r="N946" s="1" t="s">
        <v>864</v>
      </c>
      <c r="O946" s="6" t="s">
        <v>26</v>
      </c>
    </row>
    <row r="947" spans="1:15" x14ac:dyDescent="0.35">
      <c r="A947" t="s">
        <v>1923</v>
      </c>
      <c r="B947" s="1" t="s">
        <v>1924</v>
      </c>
      <c r="C947" s="1" t="s">
        <v>106</v>
      </c>
      <c r="D947" s="1" t="s">
        <v>56</v>
      </c>
      <c r="E947" s="1" t="s">
        <v>21</v>
      </c>
      <c r="F947" s="1" t="s">
        <v>22</v>
      </c>
      <c r="G947" s="1" t="s">
        <v>852</v>
      </c>
      <c r="H947" s="1">
        <v>48</v>
      </c>
      <c r="I947" s="1" t="str">
        <f t="shared" si="14"/>
        <v>46-60</v>
      </c>
      <c r="J947" s="3">
        <v>44095</v>
      </c>
      <c r="K947" s="4">
        <v>54654</v>
      </c>
      <c r="L947" s="5">
        <v>0.06</v>
      </c>
      <c r="M947" s="1" t="s">
        <v>834</v>
      </c>
      <c r="N947" s="1" t="s">
        <v>835</v>
      </c>
      <c r="O947" s="6" t="s">
        <v>26</v>
      </c>
    </row>
    <row r="948" spans="1:15" x14ac:dyDescent="0.35">
      <c r="A948" t="s">
        <v>1925</v>
      </c>
      <c r="B948" s="1" t="s">
        <v>1926</v>
      </c>
      <c r="C948" s="1" t="s">
        <v>69</v>
      </c>
      <c r="D948" s="1" t="s">
        <v>20</v>
      </c>
      <c r="E948" s="1" t="s">
        <v>73</v>
      </c>
      <c r="F948" s="1" t="s">
        <v>35</v>
      </c>
      <c r="G948" s="1" t="s">
        <v>841</v>
      </c>
      <c r="H948" s="1">
        <v>29</v>
      </c>
      <c r="I948" s="1" t="str">
        <f t="shared" si="14"/>
        <v>18-30</v>
      </c>
      <c r="J948" s="3">
        <v>44099</v>
      </c>
      <c r="K948" s="4">
        <v>123588</v>
      </c>
      <c r="L948" s="5">
        <v>0.05</v>
      </c>
      <c r="M948" s="1" t="s">
        <v>842</v>
      </c>
      <c r="N948" s="1" t="s">
        <v>843</v>
      </c>
      <c r="O948" s="6" t="s">
        <v>26</v>
      </c>
    </row>
    <row r="949" spans="1:15" x14ac:dyDescent="0.35">
      <c r="A949" t="s">
        <v>1927</v>
      </c>
      <c r="B949" s="1" t="s">
        <v>1928</v>
      </c>
      <c r="C949" s="1" t="s">
        <v>29</v>
      </c>
      <c r="D949" s="1" t="s">
        <v>1</v>
      </c>
      <c r="E949" s="1" t="s">
        <v>30</v>
      </c>
      <c r="F949" s="1" t="s">
        <v>22</v>
      </c>
      <c r="G949" s="1" t="s">
        <v>841</v>
      </c>
      <c r="H949" s="1">
        <v>52</v>
      </c>
      <c r="I949" s="1" t="str">
        <f t="shared" si="14"/>
        <v>46-60</v>
      </c>
      <c r="J949" s="3">
        <v>44099</v>
      </c>
      <c r="K949" s="4">
        <v>163143</v>
      </c>
      <c r="L949" s="5">
        <v>0.12</v>
      </c>
      <c r="M949" s="1" t="s">
        <v>842</v>
      </c>
      <c r="N949" s="1" t="s">
        <v>843</v>
      </c>
      <c r="O949" s="6" t="s">
        <v>26</v>
      </c>
    </row>
    <row r="950" spans="1:15" x14ac:dyDescent="0.35">
      <c r="A950" t="s">
        <v>1929</v>
      </c>
      <c r="B950" s="1" t="s">
        <v>1930</v>
      </c>
      <c r="C950" s="1" t="s">
        <v>110</v>
      </c>
      <c r="D950" s="1" t="s">
        <v>61</v>
      </c>
      <c r="E950" s="1" t="s">
        <v>30</v>
      </c>
      <c r="F950" s="1" t="s">
        <v>22</v>
      </c>
      <c r="G950" s="1" t="s">
        <v>833</v>
      </c>
      <c r="H950" s="1">
        <v>26</v>
      </c>
      <c r="I950" s="1" t="str">
        <f t="shared" si="14"/>
        <v>18-30</v>
      </c>
      <c r="J950" s="3">
        <v>44101</v>
      </c>
      <c r="K950" s="4">
        <v>223055</v>
      </c>
      <c r="L950" s="5">
        <v>0.05</v>
      </c>
      <c r="M950" s="1" t="s">
        <v>834</v>
      </c>
      <c r="N950" s="1" t="s">
        <v>855</v>
      </c>
      <c r="O950" s="6" t="s">
        <v>26</v>
      </c>
    </row>
    <row r="951" spans="1:15" x14ac:dyDescent="0.35">
      <c r="A951" t="s">
        <v>1931</v>
      </c>
      <c r="B951" s="1" t="s">
        <v>1932</v>
      </c>
      <c r="C951" s="1" t="s">
        <v>45</v>
      </c>
      <c r="D951" s="1" t="s">
        <v>187</v>
      </c>
      <c r="E951" s="1" t="s">
        <v>41</v>
      </c>
      <c r="F951" s="1" t="s">
        <v>22</v>
      </c>
      <c r="G951" s="1" t="s">
        <v>852</v>
      </c>
      <c r="H951" s="1">
        <v>51</v>
      </c>
      <c r="I951" s="1" t="str">
        <f t="shared" si="14"/>
        <v>46-60</v>
      </c>
      <c r="J951" s="3">
        <v>44113</v>
      </c>
      <c r="K951" s="4">
        <v>91853</v>
      </c>
      <c r="L951" s="5">
        <v>0.09</v>
      </c>
      <c r="M951" s="1" t="s">
        <v>834</v>
      </c>
      <c r="N951" s="1" t="s">
        <v>846</v>
      </c>
      <c r="O951" s="6" t="s">
        <v>26</v>
      </c>
    </row>
    <row r="952" spans="1:15" x14ac:dyDescent="0.35">
      <c r="A952" t="s">
        <v>1933</v>
      </c>
      <c r="B952" s="1" t="s">
        <v>1934</v>
      </c>
      <c r="C952" s="1" t="s">
        <v>144</v>
      </c>
      <c r="D952" s="1" t="s">
        <v>187</v>
      </c>
      <c r="E952" s="1" t="s">
        <v>41</v>
      </c>
      <c r="F952" s="1" t="s">
        <v>22</v>
      </c>
      <c r="G952" s="1" t="s">
        <v>852</v>
      </c>
      <c r="H952" s="1">
        <v>30</v>
      </c>
      <c r="I952" s="1" t="str">
        <f t="shared" si="14"/>
        <v>18-30</v>
      </c>
      <c r="J952" s="3">
        <v>44124</v>
      </c>
      <c r="K952" s="4">
        <v>67753</v>
      </c>
      <c r="L952" s="5">
        <v>0.13</v>
      </c>
      <c r="M952" s="1" t="s">
        <v>834</v>
      </c>
      <c r="N952" s="1" t="s">
        <v>835</v>
      </c>
      <c r="O952" s="6" t="s">
        <v>26</v>
      </c>
    </row>
    <row r="953" spans="1:15" x14ac:dyDescent="0.35">
      <c r="A953" t="s">
        <v>1935</v>
      </c>
      <c r="B953" s="1" t="s">
        <v>1936</v>
      </c>
      <c r="C953" s="1" t="s">
        <v>110</v>
      </c>
      <c r="D953" s="1" t="s">
        <v>187</v>
      </c>
      <c r="E953" s="1" t="s">
        <v>30</v>
      </c>
      <c r="F953" s="1" t="s">
        <v>35</v>
      </c>
      <c r="G953" s="1" t="s">
        <v>841</v>
      </c>
      <c r="H953" s="1">
        <v>33</v>
      </c>
      <c r="I953" s="1" t="str">
        <f t="shared" si="14"/>
        <v>31-45</v>
      </c>
      <c r="J953" s="3">
        <v>44181</v>
      </c>
      <c r="K953" s="4">
        <v>258426</v>
      </c>
      <c r="L953" s="5">
        <v>0.09</v>
      </c>
      <c r="M953" s="1" t="s">
        <v>842</v>
      </c>
      <c r="N953" s="1" t="s">
        <v>871</v>
      </c>
      <c r="O953" s="6" t="s">
        <v>26</v>
      </c>
    </row>
    <row r="954" spans="1:15" x14ac:dyDescent="0.35">
      <c r="A954" t="s">
        <v>1937</v>
      </c>
      <c r="B954" s="1" t="s">
        <v>1938</v>
      </c>
      <c r="C954" s="1" t="s">
        <v>335</v>
      </c>
      <c r="D954" s="1" t="s">
        <v>3</v>
      </c>
      <c r="E954" s="1" t="s">
        <v>30</v>
      </c>
      <c r="F954" s="1" t="s">
        <v>22</v>
      </c>
      <c r="G954" s="1" t="s">
        <v>841</v>
      </c>
      <c r="H954" s="1">
        <v>36</v>
      </c>
      <c r="I954" s="1" t="str">
        <f t="shared" si="14"/>
        <v>31-45</v>
      </c>
      <c r="J954" s="3">
        <v>44192</v>
      </c>
      <c r="K954" s="4">
        <v>70165</v>
      </c>
      <c r="L954" s="5">
        <v>0.12</v>
      </c>
      <c r="M954" s="1" t="s">
        <v>842</v>
      </c>
      <c r="N954" s="1" t="s">
        <v>864</v>
      </c>
      <c r="O954" s="6" t="s">
        <v>26</v>
      </c>
    </row>
    <row r="955" spans="1:15" x14ac:dyDescent="0.35">
      <c r="A955" t="s">
        <v>1939</v>
      </c>
      <c r="B955" s="1" t="s">
        <v>1940</v>
      </c>
      <c r="C955" s="1" t="s">
        <v>45</v>
      </c>
      <c r="D955" s="1" t="s">
        <v>61</v>
      </c>
      <c r="E955" s="1" t="s">
        <v>30</v>
      </c>
      <c r="F955" s="1" t="s">
        <v>35</v>
      </c>
      <c r="G955" s="1" t="s">
        <v>841</v>
      </c>
      <c r="H955" s="1">
        <v>42</v>
      </c>
      <c r="I955" s="1" t="str">
        <f t="shared" si="14"/>
        <v>31-45</v>
      </c>
      <c r="J955" s="3">
        <v>44198</v>
      </c>
      <c r="K955" s="4">
        <v>94430</v>
      </c>
      <c r="L955" s="5">
        <v>7.0000000000000007E-2</v>
      </c>
      <c r="M955" s="1" t="s">
        <v>834</v>
      </c>
      <c r="N955" s="1" t="s">
        <v>934</v>
      </c>
      <c r="O955" s="6" t="s">
        <v>26</v>
      </c>
    </row>
    <row r="956" spans="1:15" x14ac:dyDescent="0.35">
      <c r="A956" t="s">
        <v>1941</v>
      </c>
      <c r="B956" s="1" t="s">
        <v>1942</v>
      </c>
      <c r="C956" s="1" t="s">
        <v>60</v>
      </c>
      <c r="D956" s="1" t="s">
        <v>1</v>
      </c>
      <c r="E956" s="1" t="s">
        <v>30</v>
      </c>
      <c r="F956" s="1" t="s">
        <v>22</v>
      </c>
      <c r="G956" s="1" t="s">
        <v>833</v>
      </c>
      <c r="H956" s="1">
        <v>28</v>
      </c>
      <c r="I956" s="1" t="str">
        <f t="shared" si="14"/>
        <v>18-30</v>
      </c>
      <c r="J956" s="3">
        <v>44204</v>
      </c>
      <c r="K956" s="4">
        <v>108826</v>
      </c>
      <c r="L956" s="5">
        <v>0.14000000000000001</v>
      </c>
      <c r="M956" s="1" t="s">
        <v>834</v>
      </c>
      <c r="N956" s="1" t="s">
        <v>838</v>
      </c>
      <c r="O956" s="6" t="s">
        <v>26</v>
      </c>
    </row>
    <row r="957" spans="1:15" x14ac:dyDescent="0.35">
      <c r="A957" t="s">
        <v>1943</v>
      </c>
      <c r="B957" s="1" t="s">
        <v>1944</v>
      </c>
      <c r="C957" s="1" t="s">
        <v>60</v>
      </c>
      <c r="D957" s="1" t="s">
        <v>56</v>
      </c>
      <c r="E957" s="1" t="s">
        <v>41</v>
      </c>
      <c r="F957" s="1" t="s">
        <v>35</v>
      </c>
      <c r="G957" s="1" t="s">
        <v>833</v>
      </c>
      <c r="H957" s="1">
        <v>31</v>
      </c>
      <c r="I957" s="1" t="str">
        <f t="shared" si="14"/>
        <v>31-45</v>
      </c>
      <c r="J957" s="3">
        <v>44214</v>
      </c>
      <c r="K957" s="4">
        <v>104162</v>
      </c>
      <c r="L957" s="5">
        <v>0.14000000000000001</v>
      </c>
      <c r="M957" s="1" t="s">
        <v>834</v>
      </c>
      <c r="N957" s="1" t="s">
        <v>849</v>
      </c>
      <c r="O957" s="6" t="s">
        <v>26</v>
      </c>
    </row>
    <row r="958" spans="1:15" x14ac:dyDescent="0.35">
      <c r="A958" t="s">
        <v>1945</v>
      </c>
      <c r="B958" s="1" t="s">
        <v>1946</v>
      </c>
      <c r="C958" s="1" t="s">
        <v>183</v>
      </c>
      <c r="D958" s="1" t="s">
        <v>3</v>
      </c>
      <c r="E958" s="1" t="s">
        <v>73</v>
      </c>
      <c r="F958" s="1" t="s">
        <v>35</v>
      </c>
      <c r="G958" s="1" t="s">
        <v>841</v>
      </c>
      <c r="H958" s="1">
        <v>36</v>
      </c>
      <c r="I958" s="1" t="str">
        <f t="shared" si="14"/>
        <v>31-45</v>
      </c>
      <c r="J958" s="3">
        <v>44217</v>
      </c>
      <c r="K958" s="4">
        <v>90333</v>
      </c>
      <c r="L958" s="5">
        <v>0.15</v>
      </c>
      <c r="M958" s="1" t="s">
        <v>842</v>
      </c>
      <c r="N958" s="1" t="s">
        <v>871</v>
      </c>
      <c r="O958" s="6" t="s">
        <v>26</v>
      </c>
    </row>
    <row r="959" spans="1:15" x14ac:dyDescent="0.35">
      <c r="A959" t="s">
        <v>1947</v>
      </c>
      <c r="B959" s="1" t="s">
        <v>1948</v>
      </c>
      <c r="C959" s="1" t="s">
        <v>29</v>
      </c>
      <c r="D959" s="1" t="s">
        <v>1</v>
      </c>
      <c r="E959" s="1" t="s">
        <v>41</v>
      </c>
      <c r="F959" s="1" t="s">
        <v>35</v>
      </c>
      <c r="G959" s="1" t="s">
        <v>833</v>
      </c>
      <c r="H959" s="1">
        <v>61</v>
      </c>
      <c r="I959" s="1" t="str">
        <f t="shared" si="14"/>
        <v>&gt;60</v>
      </c>
      <c r="J959" s="3">
        <v>44219</v>
      </c>
      <c r="K959" s="4">
        <v>151783</v>
      </c>
      <c r="L959" s="5">
        <v>0.17</v>
      </c>
      <c r="M959" s="1" t="s">
        <v>834</v>
      </c>
      <c r="N959" s="1" t="s">
        <v>934</v>
      </c>
      <c r="O959" s="6" t="s">
        <v>26</v>
      </c>
    </row>
    <row r="960" spans="1:15" x14ac:dyDescent="0.35">
      <c r="A960" t="s">
        <v>1949</v>
      </c>
      <c r="B960" s="1" t="s">
        <v>1950</v>
      </c>
      <c r="C960" s="1" t="s">
        <v>29</v>
      </c>
      <c r="D960" s="1" t="s">
        <v>3</v>
      </c>
      <c r="E960" s="1" t="s">
        <v>41</v>
      </c>
      <c r="F960" s="1" t="s">
        <v>35</v>
      </c>
      <c r="G960" s="1" t="s">
        <v>841</v>
      </c>
      <c r="H960" s="1">
        <v>28</v>
      </c>
      <c r="I960" s="1" t="str">
        <f t="shared" si="14"/>
        <v>18-30</v>
      </c>
      <c r="J960" s="3">
        <v>44221</v>
      </c>
      <c r="K960" s="4">
        <v>160385</v>
      </c>
      <c r="L960" s="5">
        <v>0.12</v>
      </c>
      <c r="M960" s="1" t="s">
        <v>834</v>
      </c>
      <c r="N960" s="1" t="s">
        <v>838</v>
      </c>
      <c r="O960" s="6">
        <v>44334</v>
      </c>
    </row>
    <row r="961" spans="1:15" x14ac:dyDescent="0.35">
      <c r="A961" t="s">
        <v>1951</v>
      </c>
      <c r="B961" s="1" t="s">
        <v>1952</v>
      </c>
      <c r="C961" s="1" t="s">
        <v>234</v>
      </c>
      <c r="D961" s="1" t="s">
        <v>20</v>
      </c>
      <c r="E961" s="1" t="s">
        <v>21</v>
      </c>
      <c r="F961" s="1" t="s">
        <v>35</v>
      </c>
      <c r="G961" s="1" t="s">
        <v>852</v>
      </c>
      <c r="H961" s="1">
        <v>27</v>
      </c>
      <c r="I961" s="1" t="str">
        <f t="shared" si="14"/>
        <v>18-30</v>
      </c>
      <c r="J961" s="3">
        <v>44224</v>
      </c>
      <c r="K961" s="4">
        <v>95786</v>
      </c>
      <c r="L961" s="5">
        <v>0.14000000000000001</v>
      </c>
      <c r="M961" s="1" t="s">
        <v>834</v>
      </c>
      <c r="N961" s="1" t="s">
        <v>846</v>
      </c>
      <c r="O961" s="6" t="s">
        <v>26</v>
      </c>
    </row>
    <row r="962" spans="1:15" x14ac:dyDescent="0.35">
      <c r="A962" t="s">
        <v>1953</v>
      </c>
      <c r="B962" s="1" t="s">
        <v>1954</v>
      </c>
      <c r="C962" s="1" t="s">
        <v>40</v>
      </c>
      <c r="D962" s="1" t="s">
        <v>20</v>
      </c>
      <c r="E962" s="1" t="s">
        <v>73</v>
      </c>
      <c r="F962" s="1" t="s">
        <v>35</v>
      </c>
      <c r="G962" s="1" t="s">
        <v>841</v>
      </c>
      <c r="H962" s="1">
        <v>42</v>
      </c>
      <c r="I962" s="1" t="str">
        <f t="shared" si="14"/>
        <v>31-45</v>
      </c>
      <c r="J962" s="3">
        <v>44232</v>
      </c>
      <c r="K962" s="4">
        <v>65507</v>
      </c>
      <c r="L962" s="5">
        <v>0.08</v>
      </c>
      <c r="M962" s="1" t="s">
        <v>842</v>
      </c>
      <c r="N962" s="1" t="s">
        <v>864</v>
      </c>
      <c r="O962" s="6" t="s">
        <v>26</v>
      </c>
    </row>
    <row r="963" spans="1:15" x14ac:dyDescent="0.35">
      <c r="A963" t="s">
        <v>1955</v>
      </c>
      <c r="B963" s="1" t="s">
        <v>1956</v>
      </c>
      <c r="C963" s="1" t="s">
        <v>319</v>
      </c>
      <c r="D963" s="1" t="s">
        <v>1</v>
      </c>
      <c r="E963" s="1" t="s">
        <v>73</v>
      </c>
      <c r="F963" s="1" t="s">
        <v>35</v>
      </c>
      <c r="G963" s="1" t="s">
        <v>841</v>
      </c>
      <c r="H963" s="1">
        <v>26</v>
      </c>
      <c r="I963" s="1" t="str">
        <f t="shared" ref="I963:I1002" si="15">IF(H963&gt;=60,"&gt;60",IF(H963&gt;=46,"46-60",IF(H963&gt;=31,"31-45",IF(H963&gt;18,"18-30",""))))</f>
        <v>18-30</v>
      </c>
      <c r="J963" s="3">
        <v>44236</v>
      </c>
      <c r="K963" s="4">
        <v>87427</v>
      </c>
      <c r="L963" s="5">
        <v>0.1</v>
      </c>
      <c r="M963" s="1" t="s">
        <v>842</v>
      </c>
      <c r="N963" s="1" t="s">
        <v>843</v>
      </c>
      <c r="O963" s="6" t="s">
        <v>26</v>
      </c>
    </row>
    <row r="964" spans="1:15" x14ac:dyDescent="0.35">
      <c r="A964" t="s">
        <v>1957</v>
      </c>
      <c r="B964" s="1" t="s">
        <v>1958</v>
      </c>
      <c r="C964" s="1" t="s">
        <v>319</v>
      </c>
      <c r="D964" s="1" t="s">
        <v>1</v>
      </c>
      <c r="E964" s="1" t="s">
        <v>73</v>
      </c>
      <c r="F964" s="1" t="s">
        <v>22</v>
      </c>
      <c r="G964" s="1" t="s">
        <v>841</v>
      </c>
      <c r="H964" s="1">
        <v>45</v>
      </c>
      <c r="I964" s="1" t="str">
        <f t="shared" si="15"/>
        <v>31-45</v>
      </c>
      <c r="J964" s="3">
        <v>44237</v>
      </c>
      <c r="K964" s="4">
        <v>79882</v>
      </c>
      <c r="L964" s="5">
        <v>0.15</v>
      </c>
      <c r="M964" s="1" t="s">
        <v>834</v>
      </c>
      <c r="N964" s="1" t="s">
        <v>835</v>
      </c>
      <c r="O964" s="6" t="s">
        <v>26</v>
      </c>
    </row>
    <row r="965" spans="1:15" x14ac:dyDescent="0.35">
      <c r="A965" t="s">
        <v>1959</v>
      </c>
      <c r="B965" s="1" t="s">
        <v>1960</v>
      </c>
      <c r="C965" s="1" t="s">
        <v>2</v>
      </c>
      <c r="D965" s="1" t="s">
        <v>1</v>
      </c>
      <c r="E965" s="1" t="s">
        <v>41</v>
      </c>
      <c r="F965" s="1" t="s">
        <v>22</v>
      </c>
      <c r="G965" s="1" t="s">
        <v>841</v>
      </c>
      <c r="H965" s="1">
        <v>26</v>
      </c>
      <c r="I965" s="1" t="str">
        <f t="shared" si="15"/>
        <v>18-30</v>
      </c>
      <c r="J965" s="3">
        <v>44257</v>
      </c>
      <c r="K965" s="4">
        <v>44732</v>
      </c>
      <c r="L965" s="5">
        <v>0.11</v>
      </c>
      <c r="M965" s="1" t="s">
        <v>842</v>
      </c>
      <c r="N965" s="1" t="s">
        <v>871</v>
      </c>
      <c r="O965" s="6" t="s">
        <v>26</v>
      </c>
    </row>
    <row r="966" spans="1:15" x14ac:dyDescent="0.35">
      <c r="A966" t="s">
        <v>1961</v>
      </c>
      <c r="B966" s="1" t="s">
        <v>1962</v>
      </c>
      <c r="C966" s="1" t="s">
        <v>250</v>
      </c>
      <c r="D966" s="1" t="s">
        <v>3</v>
      </c>
      <c r="E966" s="1" t="s">
        <v>73</v>
      </c>
      <c r="F966" s="1" t="s">
        <v>35</v>
      </c>
      <c r="G966" s="1" t="s">
        <v>833</v>
      </c>
      <c r="H966" s="1">
        <v>26</v>
      </c>
      <c r="I966" s="1" t="str">
        <f t="shared" si="15"/>
        <v>18-30</v>
      </c>
      <c r="J966" s="3">
        <v>44266</v>
      </c>
      <c r="K966" s="4">
        <v>74170</v>
      </c>
      <c r="L966" s="5">
        <v>0.14000000000000001</v>
      </c>
      <c r="M966" s="1" t="s">
        <v>834</v>
      </c>
      <c r="N966" s="1" t="s">
        <v>849</v>
      </c>
      <c r="O966" s="6" t="s">
        <v>26</v>
      </c>
    </row>
    <row r="967" spans="1:15" x14ac:dyDescent="0.35">
      <c r="A967" t="s">
        <v>1963</v>
      </c>
      <c r="B967" s="1" t="s">
        <v>1964</v>
      </c>
      <c r="C967" s="1" t="s">
        <v>342</v>
      </c>
      <c r="D967" s="1" t="s">
        <v>56</v>
      </c>
      <c r="E967" s="1" t="s">
        <v>73</v>
      </c>
      <c r="F967" s="1" t="s">
        <v>22</v>
      </c>
      <c r="G967" s="1" t="s">
        <v>833</v>
      </c>
      <c r="H967" s="1">
        <v>26</v>
      </c>
      <c r="I967" s="1" t="str">
        <f t="shared" si="15"/>
        <v>18-30</v>
      </c>
      <c r="J967" s="3">
        <v>44267</v>
      </c>
      <c r="K967" s="4">
        <v>70369</v>
      </c>
      <c r="L967" s="5">
        <v>0.11</v>
      </c>
      <c r="M967" s="1" t="s">
        <v>834</v>
      </c>
      <c r="N967" s="1" t="s">
        <v>934</v>
      </c>
      <c r="O967" s="6" t="s">
        <v>26</v>
      </c>
    </row>
    <row r="968" spans="1:15" x14ac:dyDescent="0.35">
      <c r="A968" t="s">
        <v>1965</v>
      </c>
      <c r="B968" s="1" t="s">
        <v>1966</v>
      </c>
      <c r="C968" s="1" t="s">
        <v>102</v>
      </c>
      <c r="D968" s="1" t="s">
        <v>56</v>
      </c>
      <c r="E968" s="1" t="s">
        <v>73</v>
      </c>
      <c r="F968" s="1" t="s">
        <v>35</v>
      </c>
      <c r="G968" s="1" t="s">
        <v>852</v>
      </c>
      <c r="H968" s="1">
        <v>25</v>
      </c>
      <c r="I968" s="1" t="str">
        <f t="shared" si="15"/>
        <v>18-30</v>
      </c>
      <c r="J968" s="3">
        <v>44272</v>
      </c>
      <c r="K968" s="4">
        <v>155080</v>
      </c>
      <c r="L968" s="5">
        <v>0.17</v>
      </c>
      <c r="M968" s="1" t="s">
        <v>834</v>
      </c>
      <c r="N968" s="1" t="s">
        <v>849</v>
      </c>
      <c r="O968" s="6" t="s">
        <v>26</v>
      </c>
    </row>
    <row r="969" spans="1:15" x14ac:dyDescent="0.35">
      <c r="A969" t="s">
        <v>1967</v>
      </c>
      <c r="B969" s="1" t="s">
        <v>1968</v>
      </c>
      <c r="C969" s="1" t="s">
        <v>130</v>
      </c>
      <c r="D969" s="1" t="s">
        <v>20</v>
      </c>
      <c r="E969" s="1" t="s">
        <v>41</v>
      </c>
      <c r="F969" s="1" t="s">
        <v>35</v>
      </c>
      <c r="G969" s="1" t="s">
        <v>852</v>
      </c>
      <c r="H969" s="1">
        <v>55</v>
      </c>
      <c r="I969" s="1" t="str">
        <f t="shared" si="15"/>
        <v>46-60</v>
      </c>
      <c r="J969" s="3">
        <v>44276</v>
      </c>
      <c r="K969" s="4">
        <v>95562</v>
      </c>
      <c r="L969" s="5">
        <v>0.16</v>
      </c>
      <c r="M969" s="1" t="s">
        <v>834</v>
      </c>
      <c r="N969" s="1" t="s">
        <v>846</v>
      </c>
      <c r="O969" s="6" t="s">
        <v>26</v>
      </c>
    </row>
    <row r="970" spans="1:15" x14ac:dyDescent="0.35">
      <c r="A970" t="s">
        <v>1969</v>
      </c>
      <c r="B970" s="1" t="s">
        <v>1970</v>
      </c>
      <c r="C970" s="1" t="s">
        <v>29</v>
      </c>
      <c r="D970" s="1" t="s">
        <v>56</v>
      </c>
      <c r="E970" s="1" t="s">
        <v>21</v>
      </c>
      <c r="F970" s="1" t="s">
        <v>35</v>
      </c>
      <c r="G970" s="1" t="s">
        <v>833</v>
      </c>
      <c r="H970" s="1">
        <v>51</v>
      </c>
      <c r="I970" s="1" t="str">
        <f t="shared" si="15"/>
        <v>46-60</v>
      </c>
      <c r="J970" s="3">
        <v>44283</v>
      </c>
      <c r="K970" s="4">
        <v>180687</v>
      </c>
      <c r="L970" s="5">
        <v>0.09</v>
      </c>
      <c r="M970" s="1" t="s">
        <v>834</v>
      </c>
      <c r="N970" s="1" t="s">
        <v>835</v>
      </c>
      <c r="O970" s="6" t="s">
        <v>26</v>
      </c>
    </row>
    <row r="971" spans="1:15" x14ac:dyDescent="0.35">
      <c r="A971" t="s">
        <v>1971</v>
      </c>
      <c r="B971" s="1" t="s">
        <v>1972</v>
      </c>
      <c r="C971" s="1" t="s">
        <v>110</v>
      </c>
      <c r="D971" s="1" t="s">
        <v>61</v>
      </c>
      <c r="E971" s="1" t="s">
        <v>73</v>
      </c>
      <c r="F971" s="1" t="s">
        <v>22</v>
      </c>
      <c r="G971" s="1" t="s">
        <v>841</v>
      </c>
      <c r="H971" s="1">
        <v>44</v>
      </c>
      <c r="I971" s="1" t="str">
        <f t="shared" si="15"/>
        <v>31-45</v>
      </c>
      <c r="J971" s="3">
        <v>44283</v>
      </c>
      <c r="K971" s="4">
        <v>186033</v>
      </c>
      <c r="L971" s="5">
        <v>0.13</v>
      </c>
      <c r="M971" s="1" t="s">
        <v>842</v>
      </c>
      <c r="N971" s="1" t="s">
        <v>843</v>
      </c>
      <c r="O971" s="6" t="s">
        <v>26</v>
      </c>
    </row>
    <row r="972" spans="1:15" x14ac:dyDescent="0.35">
      <c r="A972" t="s">
        <v>1973</v>
      </c>
      <c r="B972" s="1" t="s">
        <v>1974</v>
      </c>
      <c r="C972" s="1" t="s">
        <v>29</v>
      </c>
      <c r="D972" s="1" t="s">
        <v>1</v>
      </c>
      <c r="E972" s="1" t="s">
        <v>41</v>
      </c>
      <c r="F972" s="1" t="s">
        <v>35</v>
      </c>
      <c r="G972" s="1" t="s">
        <v>841</v>
      </c>
      <c r="H972" s="1">
        <v>36</v>
      </c>
      <c r="I972" s="1" t="str">
        <f t="shared" si="15"/>
        <v>31-45</v>
      </c>
      <c r="J972" s="3">
        <v>44288</v>
      </c>
      <c r="K972" s="4">
        <v>151703</v>
      </c>
      <c r="L972" s="5">
        <v>7.0000000000000007E-2</v>
      </c>
      <c r="M972" s="1" t="s">
        <v>834</v>
      </c>
      <c r="N972" s="1" t="s">
        <v>838</v>
      </c>
      <c r="O972" s="6" t="s">
        <v>26</v>
      </c>
    </row>
    <row r="973" spans="1:15" x14ac:dyDescent="0.35">
      <c r="A973" t="s">
        <v>1975</v>
      </c>
      <c r="B973" s="1" t="s">
        <v>1976</v>
      </c>
      <c r="C973" s="1" t="s">
        <v>55</v>
      </c>
      <c r="D973" s="1" t="s">
        <v>56</v>
      </c>
      <c r="E973" s="1" t="s">
        <v>21</v>
      </c>
      <c r="F973" s="1" t="s">
        <v>22</v>
      </c>
      <c r="G973" s="1" t="s">
        <v>841</v>
      </c>
      <c r="H973" s="1">
        <v>32</v>
      </c>
      <c r="I973" s="1" t="str">
        <f t="shared" si="15"/>
        <v>31-45</v>
      </c>
      <c r="J973" s="3">
        <v>44295</v>
      </c>
      <c r="K973" s="4">
        <v>70980</v>
      </c>
      <c r="L973" s="5">
        <v>0.13</v>
      </c>
      <c r="M973" s="1" t="s">
        <v>842</v>
      </c>
      <c r="N973" s="1" t="s">
        <v>871</v>
      </c>
      <c r="O973" s="6" t="s">
        <v>26</v>
      </c>
    </row>
    <row r="974" spans="1:15" x14ac:dyDescent="0.35">
      <c r="A974" t="s">
        <v>1977</v>
      </c>
      <c r="B974" s="1" t="s">
        <v>1978</v>
      </c>
      <c r="C974" s="1" t="s">
        <v>342</v>
      </c>
      <c r="D974" s="1" t="s">
        <v>56</v>
      </c>
      <c r="E974" s="1" t="s">
        <v>30</v>
      </c>
      <c r="F974" s="1" t="s">
        <v>35</v>
      </c>
      <c r="G974" s="1" t="s">
        <v>841</v>
      </c>
      <c r="H974" s="1">
        <v>31</v>
      </c>
      <c r="I974" s="1" t="str">
        <f t="shared" si="15"/>
        <v>31-45</v>
      </c>
      <c r="J974" s="3">
        <v>44297</v>
      </c>
      <c r="K974" s="4">
        <v>72235</v>
      </c>
      <c r="L974" s="5">
        <v>7.0000000000000007E-2</v>
      </c>
      <c r="M974" s="1" t="s">
        <v>842</v>
      </c>
      <c r="N974" s="1" t="s">
        <v>864</v>
      </c>
      <c r="O974" s="6" t="s">
        <v>26</v>
      </c>
    </row>
    <row r="975" spans="1:15" x14ac:dyDescent="0.35">
      <c r="A975" t="s">
        <v>1979</v>
      </c>
      <c r="B975" s="1" t="s">
        <v>1980</v>
      </c>
      <c r="C975" s="1" t="s">
        <v>2</v>
      </c>
      <c r="D975" s="1" t="s">
        <v>80</v>
      </c>
      <c r="E975" s="1" t="s">
        <v>41</v>
      </c>
      <c r="F975" s="1" t="s">
        <v>35</v>
      </c>
      <c r="G975" s="1" t="s">
        <v>833</v>
      </c>
      <c r="H975" s="1">
        <v>55</v>
      </c>
      <c r="I975" s="1" t="str">
        <f t="shared" si="15"/>
        <v>46-60</v>
      </c>
      <c r="J975" s="3">
        <v>44302</v>
      </c>
      <c r="K975" s="4">
        <v>48266</v>
      </c>
      <c r="L975" s="5">
        <v>0.13</v>
      </c>
      <c r="M975" s="1" t="s">
        <v>834</v>
      </c>
      <c r="N975" s="1" t="s">
        <v>846</v>
      </c>
      <c r="O975" s="6" t="s">
        <v>26</v>
      </c>
    </row>
    <row r="976" spans="1:15" x14ac:dyDescent="0.35">
      <c r="A976" t="s">
        <v>1981</v>
      </c>
      <c r="B976" s="1" t="s">
        <v>1982</v>
      </c>
      <c r="C976" s="1" t="s">
        <v>342</v>
      </c>
      <c r="D976" s="1" t="s">
        <v>56</v>
      </c>
      <c r="E976" s="1" t="s">
        <v>21</v>
      </c>
      <c r="F976" s="1" t="s">
        <v>35</v>
      </c>
      <c r="G976" s="1" t="s">
        <v>841</v>
      </c>
      <c r="H976" s="1">
        <v>52</v>
      </c>
      <c r="I976" s="1" t="str">
        <f t="shared" si="15"/>
        <v>46-60</v>
      </c>
      <c r="J976" s="3">
        <v>44304</v>
      </c>
      <c r="K976" s="4">
        <v>50548</v>
      </c>
      <c r="L976" s="5">
        <v>0.12</v>
      </c>
      <c r="M976" s="1" t="s">
        <v>842</v>
      </c>
      <c r="N976" s="1" t="s">
        <v>843</v>
      </c>
      <c r="O976" s="6" t="s">
        <v>26</v>
      </c>
    </row>
    <row r="977" spans="1:15" x14ac:dyDescent="0.35">
      <c r="A977" t="s">
        <v>1983</v>
      </c>
      <c r="B977" s="1" t="s">
        <v>1984</v>
      </c>
      <c r="C977" s="1" t="s">
        <v>144</v>
      </c>
      <c r="D977" s="1" t="s">
        <v>80</v>
      </c>
      <c r="E977" s="1" t="s">
        <v>73</v>
      </c>
      <c r="F977" s="1" t="s">
        <v>22</v>
      </c>
      <c r="G977" s="1" t="s">
        <v>833</v>
      </c>
      <c r="H977" s="1">
        <v>31</v>
      </c>
      <c r="I977" s="1" t="str">
        <f t="shared" si="15"/>
        <v>31-45</v>
      </c>
      <c r="J977" s="3">
        <v>44308</v>
      </c>
      <c r="K977" s="4">
        <v>74215</v>
      </c>
      <c r="L977" s="5">
        <v>0.05</v>
      </c>
      <c r="M977" s="1" t="s">
        <v>834</v>
      </c>
      <c r="N977" s="1" t="s">
        <v>835</v>
      </c>
      <c r="O977" s="6" t="s">
        <v>26</v>
      </c>
    </row>
    <row r="978" spans="1:15" x14ac:dyDescent="0.35">
      <c r="A978" t="s">
        <v>1985</v>
      </c>
      <c r="B978" s="1" t="s">
        <v>1986</v>
      </c>
      <c r="C978" s="1" t="s">
        <v>60</v>
      </c>
      <c r="D978" s="1" t="s">
        <v>61</v>
      </c>
      <c r="E978" s="1" t="s">
        <v>41</v>
      </c>
      <c r="F978" s="1" t="s">
        <v>35</v>
      </c>
      <c r="G978" s="1" t="s">
        <v>841</v>
      </c>
      <c r="H978" s="1">
        <v>29</v>
      </c>
      <c r="I978" s="1" t="str">
        <f t="shared" si="15"/>
        <v>18-30</v>
      </c>
      <c r="J978" s="3">
        <v>44325</v>
      </c>
      <c r="K978" s="4">
        <v>129541</v>
      </c>
      <c r="L978" s="5">
        <v>0.13</v>
      </c>
      <c r="M978" s="1" t="s">
        <v>834</v>
      </c>
      <c r="N978" s="1" t="s">
        <v>835</v>
      </c>
      <c r="O978" s="6">
        <v>44340</v>
      </c>
    </row>
    <row r="979" spans="1:15" x14ac:dyDescent="0.35">
      <c r="A979" t="s">
        <v>1987</v>
      </c>
      <c r="B979" s="1" t="s">
        <v>1988</v>
      </c>
      <c r="C979" s="1" t="s">
        <v>34</v>
      </c>
      <c r="D979" s="1" t="s">
        <v>3</v>
      </c>
      <c r="E979" s="1" t="s">
        <v>41</v>
      </c>
      <c r="F979" s="1" t="s">
        <v>35</v>
      </c>
      <c r="G979" s="1" t="s">
        <v>841</v>
      </c>
      <c r="H979" s="1">
        <v>25</v>
      </c>
      <c r="I979" s="1" t="str">
        <f t="shared" si="15"/>
        <v>18-30</v>
      </c>
      <c r="J979" s="3">
        <v>44327</v>
      </c>
      <c r="K979" s="4">
        <v>83934</v>
      </c>
      <c r="L979" s="5">
        <v>7.0000000000000007E-2</v>
      </c>
      <c r="M979" s="1" t="s">
        <v>834</v>
      </c>
      <c r="N979" s="1" t="s">
        <v>838</v>
      </c>
      <c r="O979" s="6" t="s">
        <v>26</v>
      </c>
    </row>
    <row r="980" spans="1:15" x14ac:dyDescent="0.35">
      <c r="A980" t="s">
        <v>1989</v>
      </c>
      <c r="B980" s="1" t="s">
        <v>1990</v>
      </c>
      <c r="C980" s="1" t="s">
        <v>106</v>
      </c>
      <c r="D980" s="1" t="s">
        <v>56</v>
      </c>
      <c r="E980" s="1" t="s">
        <v>73</v>
      </c>
      <c r="F980" s="1" t="s">
        <v>22</v>
      </c>
      <c r="G980" s="1" t="s">
        <v>833</v>
      </c>
      <c r="H980" s="1">
        <v>28</v>
      </c>
      <c r="I980" s="1" t="str">
        <f t="shared" si="15"/>
        <v>18-30</v>
      </c>
      <c r="J980" s="3">
        <v>44374</v>
      </c>
      <c r="K980" s="4">
        <v>48510</v>
      </c>
      <c r="L980" s="5">
        <v>0.1</v>
      </c>
      <c r="M980" s="1" t="s">
        <v>834</v>
      </c>
      <c r="N980" s="1" t="s">
        <v>846</v>
      </c>
      <c r="O980" s="6" t="s">
        <v>26</v>
      </c>
    </row>
    <row r="981" spans="1:15" x14ac:dyDescent="0.35">
      <c r="A981" t="s">
        <v>1991</v>
      </c>
      <c r="B981" s="1" t="s">
        <v>1992</v>
      </c>
      <c r="C981" s="1" t="s">
        <v>45</v>
      </c>
      <c r="D981" s="1" t="s">
        <v>1</v>
      </c>
      <c r="E981" s="1" t="s">
        <v>30</v>
      </c>
      <c r="F981" s="1" t="s">
        <v>35</v>
      </c>
      <c r="G981" s="1" t="s">
        <v>833</v>
      </c>
      <c r="H981" s="1">
        <v>28</v>
      </c>
      <c r="I981" s="1" t="str">
        <f t="shared" si="15"/>
        <v>18-30</v>
      </c>
      <c r="J981" s="3">
        <v>44380</v>
      </c>
      <c r="K981" s="4">
        <v>82739</v>
      </c>
      <c r="L981" s="5">
        <v>0.05</v>
      </c>
      <c r="M981" s="1" t="s">
        <v>834</v>
      </c>
      <c r="N981" s="1" t="s">
        <v>835</v>
      </c>
      <c r="O981" s="6" t="s">
        <v>26</v>
      </c>
    </row>
    <row r="982" spans="1:15" x14ac:dyDescent="0.35">
      <c r="A982" t="s">
        <v>1993</v>
      </c>
      <c r="B982" s="1" t="s">
        <v>1994</v>
      </c>
      <c r="C982" s="1" t="s">
        <v>29</v>
      </c>
      <c r="D982" s="1" t="s">
        <v>187</v>
      </c>
      <c r="E982" s="1" t="s">
        <v>30</v>
      </c>
      <c r="F982" s="1" t="s">
        <v>35</v>
      </c>
      <c r="G982" s="1" t="s">
        <v>833</v>
      </c>
      <c r="H982" s="1">
        <v>27</v>
      </c>
      <c r="I982" s="1" t="str">
        <f t="shared" si="15"/>
        <v>18-30</v>
      </c>
      <c r="J982" s="3">
        <v>44393</v>
      </c>
      <c r="K982" s="4">
        <v>161759</v>
      </c>
      <c r="L982" s="5">
        <v>0.14000000000000001</v>
      </c>
      <c r="M982" s="1" t="s">
        <v>834</v>
      </c>
      <c r="N982" s="1" t="s">
        <v>838</v>
      </c>
      <c r="O982" s="6" t="s">
        <v>26</v>
      </c>
    </row>
    <row r="983" spans="1:15" x14ac:dyDescent="0.35">
      <c r="A983" t="s">
        <v>1995</v>
      </c>
      <c r="B983" s="1" t="s">
        <v>1996</v>
      </c>
      <c r="C983" s="1" t="s">
        <v>2</v>
      </c>
      <c r="D983" s="1" t="s">
        <v>61</v>
      </c>
      <c r="E983" s="1" t="s">
        <v>41</v>
      </c>
      <c r="F983" s="1" t="s">
        <v>22</v>
      </c>
      <c r="G983" s="1" t="s">
        <v>833</v>
      </c>
      <c r="H983" s="1">
        <v>28</v>
      </c>
      <c r="I983" s="1" t="str">
        <f t="shared" si="15"/>
        <v>18-30</v>
      </c>
      <c r="J983" s="3">
        <v>44395</v>
      </c>
      <c r="K983" s="4">
        <v>43391</v>
      </c>
      <c r="L983" s="5">
        <v>0.15</v>
      </c>
      <c r="M983" s="1" t="s">
        <v>834</v>
      </c>
      <c r="N983" s="1" t="s">
        <v>855</v>
      </c>
      <c r="O983" s="6" t="s">
        <v>26</v>
      </c>
    </row>
    <row r="984" spans="1:15" x14ac:dyDescent="0.35">
      <c r="A984" t="s">
        <v>1997</v>
      </c>
      <c r="B984" s="1" t="s">
        <v>1998</v>
      </c>
      <c r="C984" s="1" t="s">
        <v>110</v>
      </c>
      <c r="D984" s="1" t="s">
        <v>56</v>
      </c>
      <c r="E984" s="1" t="s">
        <v>73</v>
      </c>
      <c r="F984" s="1" t="s">
        <v>35</v>
      </c>
      <c r="G984" s="1" t="s">
        <v>833</v>
      </c>
      <c r="H984" s="1">
        <v>28</v>
      </c>
      <c r="I984" s="1" t="str">
        <f t="shared" si="15"/>
        <v>18-30</v>
      </c>
      <c r="J984" s="3">
        <v>44402</v>
      </c>
      <c r="K984" s="4">
        <v>231850</v>
      </c>
      <c r="L984" s="5">
        <v>7.0000000000000007E-2</v>
      </c>
      <c r="M984" s="1" t="s">
        <v>834</v>
      </c>
      <c r="N984" s="1" t="s">
        <v>838</v>
      </c>
      <c r="O984" s="6" t="s">
        <v>26</v>
      </c>
    </row>
    <row r="985" spans="1:15" x14ac:dyDescent="0.35">
      <c r="A985" t="s">
        <v>1999</v>
      </c>
      <c r="B985" s="1" t="s">
        <v>2000</v>
      </c>
      <c r="C985" s="1" t="s">
        <v>29</v>
      </c>
      <c r="D985" s="1" t="s">
        <v>3</v>
      </c>
      <c r="E985" s="1" t="s">
        <v>73</v>
      </c>
      <c r="F985" s="1" t="s">
        <v>35</v>
      </c>
      <c r="G985" s="1" t="s">
        <v>833</v>
      </c>
      <c r="H985" s="1">
        <v>26</v>
      </c>
      <c r="I985" s="1" t="str">
        <f t="shared" si="15"/>
        <v>18-30</v>
      </c>
      <c r="J985" s="3">
        <v>44403</v>
      </c>
      <c r="K985" s="4">
        <v>151108</v>
      </c>
      <c r="L985" s="5">
        <v>0.1</v>
      </c>
      <c r="M985" s="1" t="s">
        <v>834</v>
      </c>
      <c r="N985" s="1" t="s">
        <v>835</v>
      </c>
      <c r="O985" s="6" t="s">
        <v>26</v>
      </c>
    </row>
    <row r="986" spans="1:15" x14ac:dyDescent="0.35">
      <c r="A986" t="s">
        <v>2001</v>
      </c>
      <c r="B986" s="1" t="s">
        <v>2002</v>
      </c>
      <c r="C986" s="1" t="s">
        <v>60</v>
      </c>
      <c r="D986" s="1" t="s">
        <v>3</v>
      </c>
      <c r="E986" s="1" t="s">
        <v>21</v>
      </c>
      <c r="F986" s="1" t="s">
        <v>22</v>
      </c>
      <c r="G986" s="1" t="s">
        <v>833</v>
      </c>
      <c r="H986" s="1">
        <v>46</v>
      </c>
      <c r="I986" s="1" t="str">
        <f t="shared" si="15"/>
        <v>46-60</v>
      </c>
      <c r="J986" s="3">
        <v>44419</v>
      </c>
      <c r="K986" s="4">
        <v>127559</v>
      </c>
      <c r="L986" s="5">
        <v>0.13</v>
      </c>
      <c r="M986" s="1" t="s">
        <v>834</v>
      </c>
      <c r="N986" s="1" t="s">
        <v>849</v>
      </c>
      <c r="O986" s="6" t="s">
        <v>26</v>
      </c>
    </row>
    <row r="987" spans="1:15" x14ac:dyDescent="0.35">
      <c r="A987" t="s">
        <v>2003</v>
      </c>
      <c r="B987" s="1" t="s">
        <v>2004</v>
      </c>
      <c r="C987" s="1" t="s">
        <v>2</v>
      </c>
      <c r="D987" s="1" t="s">
        <v>80</v>
      </c>
      <c r="E987" s="1" t="s">
        <v>30</v>
      </c>
      <c r="F987" s="1" t="s">
        <v>35</v>
      </c>
      <c r="G987" s="1" t="s">
        <v>852</v>
      </c>
      <c r="H987" s="1">
        <v>36</v>
      </c>
      <c r="I987" s="1" t="str">
        <f t="shared" si="15"/>
        <v>31-45</v>
      </c>
      <c r="J987" s="3">
        <v>44435</v>
      </c>
      <c r="K987" s="4">
        <v>48906</v>
      </c>
      <c r="L987" s="5">
        <v>0.13</v>
      </c>
      <c r="M987" s="1" t="s">
        <v>834</v>
      </c>
      <c r="N987" s="1" t="s">
        <v>838</v>
      </c>
      <c r="O987" s="6" t="s">
        <v>26</v>
      </c>
    </row>
    <row r="988" spans="1:15" x14ac:dyDescent="0.35">
      <c r="A988" t="s">
        <v>2005</v>
      </c>
      <c r="B988" s="1" t="s">
        <v>2006</v>
      </c>
      <c r="C988" s="1" t="s">
        <v>144</v>
      </c>
      <c r="D988" s="1" t="s">
        <v>61</v>
      </c>
      <c r="E988" s="1" t="s">
        <v>41</v>
      </c>
      <c r="F988" s="1" t="s">
        <v>35</v>
      </c>
      <c r="G988" s="1" t="s">
        <v>852</v>
      </c>
      <c r="H988" s="1">
        <v>27</v>
      </c>
      <c r="I988" s="1" t="str">
        <f t="shared" si="15"/>
        <v>18-30</v>
      </c>
      <c r="J988" s="3">
        <v>44460</v>
      </c>
      <c r="K988" s="4">
        <v>68728</v>
      </c>
      <c r="L988" s="5">
        <v>0.13</v>
      </c>
      <c r="M988" s="1" t="s">
        <v>834</v>
      </c>
      <c r="N988" s="1" t="s">
        <v>835</v>
      </c>
      <c r="O988" s="6" t="s">
        <v>26</v>
      </c>
    </row>
    <row r="989" spans="1:15" x14ac:dyDescent="0.35">
      <c r="A989" t="s">
        <v>2007</v>
      </c>
      <c r="B989" s="1" t="s">
        <v>2008</v>
      </c>
      <c r="C989" s="1" t="s">
        <v>123</v>
      </c>
      <c r="D989" s="1" t="s">
        <v>3</v>
      </c>
      <c r="E989" s="1" t="s">
        <v>30</v>
      </c>
      <c r="F989" s="1" t="s">
        <v>22</v>
      </c>
      <c r="G989" s="1" t="s">
        <v>841</v>
      </c>
      <c r="H989" s="1">
        <v>40</v>
      </c>
      <c r="I989" s="1" t="str">
        <f t="shared" si="15"/>
        <v>31-45</v>
      </c>
      <c r="J989" s="3">
        <v>44465</v>
      </c>
      <c r="K989" s="4">
        <v>87770</v>
      </c>
      <c r="L989" s="5">
        <v>0.1</v>
      </c>
      <c r="M989" s="1" t="s">
        <v>834</v>
      </c>
      <c r="N989" s="1" t="s">
        <v>849</v>
      </c>
      <c r="O989" s="6" t="s">
        <v>26</v>
      </c>
    </row>
    <row r="990" spans="1:15" x14ac:dyDescent="0.35">
      <c r="A990" t="s">
        <v>2009</v>
      </c>
      <c r="B990" s="1" t="s">
        <v>2010</v>
      </c>
      <c r="C990" s="1" t="s">
        <v>40</v>
      </c>
      <c r="D990" s="1" t="s">
        <v>20</v>
      </c>
      <c r="E990" s="1" t="s">
        <v>73</v>
      </c>
      <c r="F990" s="1" t="s">
        <v>22</v>
      </c>
      <c r="G990" s="1" t="s">
        <v>833</v>
      </c>
      <c r="H990" s="1">
        <v>30</v>
      </c>
      <c r="I990" s="1" t="str">
        <f t="shared" si="15"/>
        <v>18-30</v>
      </c>
      <c r="J990" s="3">
        <v>44471</v>
      </c>
      <c r="K990" s="4">
        <v>88758</v>
      </c>
      <c r="L990" s="5">
        <v>0.14000000000000001</v>
      </c>
      <c r="M990" s="1" t="s">
        <v>834</v>
      </c>
      <c r="N990" s="1" t="s">
        <v>934</v>
      </c>
      <c r="O990" s="6" t="s">
        <v>26</v>
      </c>
    </row>
    <row r="991" spans="1:15" x14ac:dyDescent="0.35">
      <c r="A991" t="s">
        <v>2011</v>
      </c>
      <c r="B991" s="1" t="s">
        <v>2012</v>
      </c>
      <c r="C991" s="1" t="s">
        <v>183</v>
      </c>
      <c r="D991" s="1" t="s">
        <v>3</v>
      </c>
      <c r="E991" s="1" t="s">
        <v>41</v>
      </c>
      <c r="F991" s="1" t="s">
        <v>35</v>
      </c>
      <c r="G991" s="1" t="s">
        <v>841</v>
      </c>
      <c r="H991" s="1">
        <v>32</v>
      </c>
      <c r="I991" s="1" t="str">
        <f t="shared" si="15"/>
        <v>31-45</v>
      </c>
      <c r="J991" s="3">
        <v>44474</v>
      </c>
      <c r="K991" s="4">
        <v>88072</v>
      </c>
      <c r="L991" s="5">
        <v>0.1</v>
      </c>
      <c r="M991" s="1" t="s">
        <v>842</v>
      </c>
      <c r="N991" s="1" t="s">
        <v>843</v>
      </c>
      <c r="O991" s="6" t="s">
        <v>26</v>
      </c>
    </row>
    <row r="992" spans="1:15" x14ac:dyDescent="0.35">
      <c r="A992" t="s">
        <v>2013</v>
      </c>
      <c r="B992" s="1" t="s">
        <v>2014</v>
      </c>
      <c r="C992" s="1" t="s">
        <v>183</v>
      </c>
      <c r="D992" s="1" t="s">
        <v>3</v>
      </c>
      <c r="E992" s="1" t="s">
        <v>73</v>
      </c>
      <c r="F992" s="1" t="s">
        <v>35</v>
      </c>
      <c r="G992" s="1" t="s">
        <v>833</v>
      </c>
      <c r="H992" s="1">
        <v>28</v>
      </c>
      <c r="I992" s="1" t="str">
        <f t="shared" si="15"/>
        <v>18-30</v>
      </c>
      <c r="J992" s="3">
        <v>44477</v>
      </c>
      <c r="K992" s="4">
        <v>64475</v>
      </c>
      <c r="L992" s="5">
        <v>0.06</v>
      </c>
      <c r="M992" s="1" t="s">
        <v>834</v>
      </c>
      <c r="N992" s="1" t="s">
        <v>835</v>
      </c>
      <c r="O992" s="6" t="s">
        <v>26</v>
      </c>
    </row>
    <row r="993" spans="1:15" x14ac:dyDescent="0.35">
      <c r="A993" t="s">
        <v>2015</v>
      </c>
      <c r="B993" s="1" t="s">
        <v>2016</v>
      </c>
      <c r="C993" s="1" t="s">
        <v>19</v>
      </c>
      <c r="D993" s="1" t="s">
        <v>20</v>
      </c>
      <c r="E993" s="1" t="s">
        <v>73</v>
      </c>
      <c r="F993" s="1" t="s">
        <v>22</v>
      </c>
      <c r="G993" s="1" t="s">
        <v>841</v>
      </c>
      <c r="H993" s="1">
        <v>32</v>
      </c>
      <c r="I993" s="1" t="str">
        <f t="shared" si="15"/>
        <v>31-45</v>
      </c>
      <c r="J993" s="3">
        <v>44478</v>
      </c>
      <c r="K993" s="4">
        <v>102298</v>
      </c>
      <c r="L993" s="5">
        <v>0.15</v>
      </c>
      <c r="M993" s="1" t="s">
        <v>842</v>
      </c>
      <c r="N993" s="1" t="s">
        <v>871</v>
      </c>
      <c r="O993" s="6" t="s">
        <v>26</v>
      </c>
    </row>
    <row r="994" spans="1:15" x14ac:dyDescent="0.35">
      <c r="A994" t="s">
        <v>2017</v>
      </c>
      <c r="B994" s="1" t="s">
        <v>2018</v>
      </c>
      <c r="C994" s="1" t="s">
        <v>45</v>
      </c>
      <c r="D994" s="1" t="s">
        <v>187</v>
      </c>
      <c r="E994" s="1" t="s">
        <v>73</v>
      </c>
      <c r="F994" s="1" t="s">
        <v>22</v>
      </c>
      <c r="G994" s="1" t="s">
        <v>833</v>
      </c>
      <c r="H994" s="1">
        <v>27</v>
      </c>
      <c r="I994" s="1" t="str">
        <f t="shared" si="15"/>
        <v>18-30</v>
      </c>
      <c r="J994" s="3">
        <v>44482</v>
      </c>
      <c r="K994" s="4">
        <v>74077</v>
      </c>
      <c r="L994" s="5">
        <v>0.11</v>
      </c>
      <c r="M994" s="1" t="s">
        <v>834</v>
      </c>
      <c r="N994" s="1" t="s">
        <v>934</v>
      </c>
      <c r="O994" s="6" t="s">
        <v>26</v>
      </c>
    </row>
    <row r="995" spans="1:15" x14ac:dyDescent="0.35">
      <c r="A995" t="s">
        <v>2019</v>
      </c>
      <c r="B995" s="1" t="s">
        <v>2020</v>
      </c>
      <c r="C995" s="1" t="s">
        <v>29</v>
      </c>
      <c r="D995" s="1" t="s">
        <v>56</v>
      </c>
      <c r="E995" s="1" t="s">
        <v>41</v>
      </c>
      <c r="F995" s="1" t="s">
        <v>22</v>
      </c>
      <c r="G995" s="1" t="s">
        <v>833</v>
      </c>
      <c r="H995" s="1">
        <v>50</v>
      </c>
      <c r="I995" s="1" t="str">
        <f t="shared" si="15"/>
        <v>46-60</v>
      </c>
      <c r="J995" s="3">
        <v>44486</v>
      </c>
      <c r="K995" s="4">
        <v>172180</v>
      </c>
      <c r="L995" s="5">
        <v>0.17</v>
      </c>
      <c r="M995" s="1" t="s">
        <v>834</v>
      </c>
      <c r="N995" s="1" t="s">
        <v>855</v>
      </c>
      <c r="O995" s="6" t="s">
        <v>26</v>
      </c>
    </row>
    <row r="996" spans="1:15" x14ac:dyDescent="0.35">
      <c r="A996" t="s">
        <v>2021</v>
      </c>
      <c r="B996" s="1" t="s">
        <v>2022</v>
      </c>
      <c r="C996" s="1" t="s">
        <v>130</v>
      </c>
      <c r="D996" s="1" t="s">
        <v>20</v>
      </c>
      <c r="E996" s="1" t="s">
        <v>73</v>
      </c>
      <c r="F996" s="1" t="s">
        <v>35</v>
      </c>
      <c r="G996" s="1" t="s">
        <v>833</v>
      </c>
      <c r="H996" s="1">
        <v>27</v>
      </c>
      <c r="I996" s="1" t="str">
        <f t="shared" si="15"/>
        <v>18-30</v>
      </c>
      <c r="J996" s="3">
        <v>44490</v>
      </c>
      <c r="K996" s="4">
        <v>109851</v>
      </c>
      <c r="L996" s="5">
        <v>0.15</v>
      </c>
      <c r="M996" s="1" t="s">
        <v>834</v>
      </c>
      <c r="N996" s="1" t="s">
        <v>934</v>
      </c>
      <c r="O996" s="6" t="s">
        <v>26</v>
      </c>
    </row>
    <row r="997" spans="1:15" x14ac:dyDescent="0.35">
      <c r="A997" t="s">
        <v>2023</v>
      </c>
      <c r="B997" s="1" t="s">
        <v>2024</v>
      </c>
      <c r="C997" s="1" t="s">
        <v>60</v>
      </c>
      <c r="D997" s="1" t="s">
        <v>187</v>
      </c>
      <c r="E997" s="1" t="s">
        <v>73</v>
      </c>
      <c r="F997" s="1" t="s">
        <v>35</v>
      </c>
      <c r="G997" s="1" t="s">
        <v>841</v>
      </c>
      <c r="H997" s="1">
        <v>38</v>
      </c>
      <c r="I997" s="1" t="str">
        <f t="shared" si="15"/>
        <v>31-45</v>
      </c>
      <c r="J997" s="3">
        <v>44516</v>
      </c>
      <c r="K997" s="4">
        <v>109812</v>
      </c>
      <c r="L997" s="5">
        <v>0.12</v>
      </c>
      <c r="M997" s="1" t="s">
        <v>842</v>
      </c>
      <c r="N997" s="1" t="s">
        <v>864</v>
      </c>
      <c r="O997" s="6" t="s">
        <v>26</v>
      </c>
    </row>
    <row r="998" spans="1:15" x14ac:dyDescent="0.35">
      <c r="A998" t="s">
        <v>2025</v>
      </c>
      <c r="B998" s="1" t="s">
        <v>2026</v>
      </c>
      <c r="C998" s="1" t="s">
        <v>162</v>
      </c>
      <c r="D998" s="1" t="s">
        <v>1</v>
      </c>
      <c r="E998" s="1" t="s">
        <v>41</v>
      </c>
      <c r="F998" s="1" t="s">
        <v>35</v>
      </c>
      <c r="G998" s="1" t="s">
        <v>833</v>
      </c>
      <c r="H998" s="1">
        <v>26</v>
      </c>
      <c r="I998" s="1" t="str">
        <f t="shared" si="15"/>
        <v>18-30</v>
      </c>
      <c r="J998" s="3">
        <v>44521</v>
      </c>
      <c r="K998" s="4">
        <v>63137</v>
      </c>
      <c r="L998" s="5">
        <v>0.15</v>
      </c>
      <c r="M998" s="1" t="s">
        <v>834</v>
      </c>
      <c r="N998" s="1" t="s">
        <v>846</v>
      </c>
      <c r="O998" s="6" t="s">
        <v>26</v>
      </c>
    </row>
    <row r="999" spans="1:15" x14ac:dyDescent="0.35">
      <c r="A999" t="s">
        <v>2027</v>
      </c>
      <c r="B999" s="1" t="s">
        <v>2028</v>
      </c>
      <c r="C999" s="1" t="s">
        <v>110</v>
      </c>
      <c r="D999" s="1" t="s">
        <v>80</v>
      </c>
      <c r="E999" s="1" t="s">
        <v>30</v>
      </c>
      <c r="F999" s="1" t="s">
        <v>35</v>
      </c>
      <c r="G999" s="1" t="s">
        <v>841</v>
      </c>
      <c r="H999" s="1">
        <v>27</v>
      </c>
      <c r="I999" s="1" t="str">
        <f t="shared" si="15"/>
        <v>18-30</v>
      </c>
      <c r="J999" s="3">
        <v>44545</v>
      </c>
      <c r="K999" s="4">
        <v>255369</v>
      </c>
      <c r="L999" s="5">
        <v>0.14000000000000001</v>
      </c>
      <c r="M999" s="1" t="s">
        <v>842</v>
      </c>
      <c r="N999" s="1" t="s">
        <v>843</v>
      </c>
      <c r="O999" s="6" t="s">
        <v>26</v>
      </c>
    </row>
    <row r="1000" spans="1:15" x14ac:dyDescent="0.35">
      <c r="A1000" t="s">
        <v>2029</v>
      </c>
      <c r="B1000" s="1" t="s">
        <v>2030</v>
      </c>
      <c r="C1000" s="1" t="s">
        <v>102</v>
      </c>
      <c r="D1000" s="1" t="s">
        <v>80</v>
      </c>
      <c r="E1000" s="1" t="s">
        <v>30</v>
      </c>
      <c r="F1000" s="1" t="s">
        <v>22</v>
      </c>
      <c r="G1000" s="1" t="s">
        <v>841</v>
      </c>
      <c r="H1000" s="1">
        <v>45</v>
      </c>
      <c r="I1000" s="1" t="str">
        <f t="shared" si="15"/>
        <v>31-45</v>
      </c>
      <c r="J1000" s="3">
        <v>44554</v>
      </c>
      <c r="K1000" s="4">
        <v>144754</v>
      </c>
      <c r="L1000" s="5">
        <v>0.05</v>
      </c>
      <c r="M1000" s="1" t="s">
        <v>834</v>
      </c>
      <c r="N1000" s="1" t="s">
        <v>835</v>
      </c>
      <c r="O1000" s="6" t="s">
        <v>26</v>
      </c>
    </row>
    <row r="1001" spans="1:15" x14ac:dyDescent="0.35">
      <c r="A1001" t="s">
        <v>2031</v>
      </c>
      <c r="B1001" s="2" t="s">
        <v>2032</v>
      </c>
      <c r="C1001" s="2" t="s">
        <v>45</v>
      </c>
      <c r="D1001" s="2" t="s">
        <v>1</v>
      </c>
      <c r="E1001" s="2" t="s">
        <v>30</v>
      </c>
      <c r="F1001" s="2" t="s">
        <v>22</v>
      </c>
      <c r="G1001" s="2" t="s">
        <v>852</v>
      </c>
      <c r="H1001" s="2">
        <v>36</v>
      </c>
      <c r="I1001" s="1" t="str">
        <f t="shared" si="15"/>
        <v>31-45</v>
      </c>
      <c r="J1001" s="7">
        <v>44556</v>
      </c>
      <c r="K1001" s="8">
        <v>75119</v>
      </c>
      <c r="L1001" s="5">
        <v>0.08</v>
      </c>
      <c r="M1001" s="2" t="s">
        <v>834</v>
      </c>
      <c r="N1001" s="2" t="s">
        <v>846</v>
      </c>
      <c r="O1001" s="9" t="s">
        <v>26</v>
      </c>
    </row>
    <row r="1002" spans="1:15" x14ac:dyDescent="0.35">
      <c r="A1002">
        <f>COUNTA(A2:A1001)</f>
        <v>1000</v>
      </c>
      <c r="D1002">
        <f>COUNTIF(D2:D1001,"IT")</f>
        <v>241</v>
      </c>
      <c r="I1002" s="1" t="str">
        <f t="shared" si="15"/>
        <v/>
      </c>
      <c r="K1002" s="11">
        <f>SUM(J2:J1001)</f>
        <v>41006121</v>
      </c>
    </row>
    <row r="1004" spans="1:15" x14ac:dyDescent="0.35">
      <c r="D1004" s="18">
        <f>K1002/A1002</f>
        <v>41006.120999999999</v>
      </c>
    </row>
  </sheetData>
  <autoFilter ref="A1:O1002" xr:uid="{30045B9B-0461-4820-AFE3-D62B88CA7A5E}">
    <filterColumn colId="0">
      <iconFilter iconSet="3Arrow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4DA2D-CDCD-4924-85A2-22A4522EF583}">
  <dimension ref="A1:I203"/>
  <sheetViews>
    <sheetView zoomScale="71" workbookViewId="0">
      <selection activeCell="B196" sqref="B196"/>
    </sheetView>
  </sheetViews>
  <sheetFormatPr defaultRowHeight="14.5" x14ac:dyDescent="0.35"/>
  <cols>
    <col min="1" max="1" width="16.08984375" bestFit="1" customWidth="1"/>
    <col min="2" max="2" width="12.08984375" bestFit="1" customWidth="1"/>
    <col min="3" max="4" width="12.26953125" bestFit="1" customWidth="1"/>
    <col min="5" max="5" width="16.08984375" bestFit="1" customWidth="1"/>
    <col min="6" max="8" width="12.26953125" bestFit="1" customWidth="1"/>
    <col min="9" max="9" width="13.36328125" bestFit="1" customWidth="1"/>
    <col min="10" max="11" width="7.36328125" bestFit="1" customWidth="1"/>
    <col min="12" max="12" width="7.08984375" bestFit="1" customWidth="1"/>
    <col min="13" max="13" width="7.36328125" bestFit="1" customWidth="1"/>
    <col min="14" max="14" width="7.08984375" bestFit="1" customWidth="1"/>
    <col min="15" max="15" width="16.1796875" bestFit="1" customWidth="1"/>
    <col min="16" max="16" width="18.453125" bestFit="1" customWidth="1"/>
    <col min="17" max="17" width="26.08984375" bestFit="1" customWidth="1"/>
    <col min="18" max="18" width="17.81640625" bestFit="1" customWidth="1"/>
    <col min="19" max="19" width="14.26953125" bestFit="1" customWidth="1"/>
    <col min="20" max="20" width="27.81640625" bestFit="1" customWidth="1"/>
    <col min="21" max="21" width="22.90625" bestFit="1" customWidth="1"/>
    <col min="22" max="22" width="22.54296875" bestFit="1" customWidth="1"/>
    <col min="23" max="23" width="26.08984375" bestFit="1" customWidth="1"/>
    <col min="24" max="24" width="21.26953125" bestFit="1" customWidth="1"/>
    <col min="25" max="25" width="26.7265625" bestFit="1" customWidth="1"/>
    <col min="26" max="26" width="24.6328125" bestFit="1" customWidth="1"/>
    <col min="27" max="27" width="35" bestFit="1" customWidth="1"/>
    <col min="28" max="28" width="16.1796875" bestFit="1" customWidth="1"/>
    <col min="29" max="29" width="26.08984375" bestFit="1" customWidth="1"/>
    <col min="30" max="30" width="17.81640625" bestFit="1" customWidth="1"/>
    <col min="31" max="31" width="27.1796875" bestFit="1" customWidth="1"/>
    <col min="32" max="32" width="21" bestFit="1" customWidth="1"/>
    <col min="33" max="33" width="25.26953125" bestFit="1" customWidth="1"/>
    <col min="34" max="34" width="18.08984375" bestFit="1" customWidth="1"/>
    <col min="35" max="35" width="19.08984375" bestFit="1" customWidth="1"/>
    <col min="36" max="36" width="19.36328125" bestFit="1" customWidth="1"/>
    <col min="37" max="37" width="3.7265625" bestFit="1" customWidth="1"/>
    <col min="38" max="38" width="4" bestFit="1" customWidth="1"/>
    <col min="39" max="39" width="4.08984375" bestFit="1" customWidth="1"/>
    <col min="40" max="40" width="26.54296875" bestFit="1" customWidth="1"/>
    <col min="41" max="41" width="18.90625" bestFit="1" customWidth="1"/>
    <col min="42" max="43" width="3.90625" bestFit="1" customWidth="1"/>
    <col min="44" max="44" width="3.6328125" bestFit="1" customWidth="1"/>
    <col min="45" max="45" width="4.1796875" bestFit="1" customWidth="1"/>
    <col min="46" max="46" width="3.6328125" bestFit="1" customWidth="1"/>
    <col min="47" max="47" width="3.08984375" bestFit="1" customWidth="1"/>
    <col min="48" max="48" width="3.90625" bestFit="1" customWidth="1"/>
    <col min="49" max="49" width="4" bestFit="1" customWidth="1"/>
    <col min="50" max="50" width="3.7265625" bestFit="1" customWidth="1"/>
    <col min="51" max="51" width="4" bestFit="1" customWidth="1"/>
    <col min="52" max="52" width="4.08984375" bestFit="1" customWidth="1"/>
    <col min="53" max="53" width="21.7265625" bestFit="1" customWidth="1"/>
    <col min="54" max="54" width="10.36328125" bestFit="1" customWidth="1"/>
    <col min="55" max="950" width="10.08984375" bestFit="1" customWidth="1"/>
    <col min="951" max="951" width="10.36328125" bestFit="1" customWidth="1"/>
  </cols>
  <sheetData>
    <row r="1" spans="1:4" x14ac:dyDescent="0.35">
      <c r="A1" s="15" t="s">
        <v>14</v>
      </c>
      <c r="B1" t="s">
        <v>2038</v>
      </c>
    </row>
    <row r="3" spans="1:4" x14ac:dyDescent="0.35">
      <c r="A3" s="15" t="s">
        <v>2039</v>
      </c>
      <c r="B3" s="15" t="s">
        <v>2037</v>
      </c>
    </row>
    <row r="4" spans="1:4" x14ac:dyDescent="0.35">
      <c r="A4" s="15" t="s">
        <v>2034</v>
      </c>
      <c r="B4" t="s">
        <v>35</v>
      </c>
      <c r="C4" t="s">
        <v>22</v>
      </c>
      <c r="D4" t="s">
        <v>2035</v>
      </c>
    </row>
    <row r="5" spans="1:4" x14ac:dyDescent="0.35">
      <c r="A5" s="16" t="s">
        <v>30</v>
      </c>
      <c r="B5">
        <v>117</v>
      </c>
      <c r="C5">
        <v>120</v>
      </c>
      <c r="D5">
        <v>237</v>
      </c>
    </row>
    <row r="6" spans="1:4" x14ac:dyDescent="0.35">
      <c r="A6" s="16" t="s">
        <v>41</v>
      </c>
      <c r="B6">
        <v>148</v>
      </c>
      <c r="C6">
        <v>121</v>
      </c>
      <c r="D6">
        <v>269</v>
      </c>
    </row>
    <row r="7" spans="1:4" x14ac:dyDescent="0.35">
      <c r="A7" s="16" t="s">
        <v>21</v>
      </c>
      <c r="B7">
        <v>115</v>
      </c>
      <c r="C7">
        <v>114</v>
      </c>
      <c r="D7">
        <v>229</v>
      </c>
    </row>
    <row r="8" spans="1:4" x14ac:dyDescent="0.35">
      <c r="A8" s="16" t="s">
        <v>73</v>
      </c>
      <c r="B8">
        <v>138</v>
      </c>
      <c r="C8">
        <v>127</v>
      </c>
      <c r="D8">
        <v>265</v>
      </c>
    </row>
    <row r="9" spans="1:4" x14ac:dyDescent="0.35">
      <c r="A9" s="16" t="s">
        <v>2035</v>
      </c>
      <c r="B9">
        <v>518</v>
      </c>
      <c r="C9">
        <v>482</v>
      </c>
      <c r="D9">
        <v>1000</v>
      </c>
    </row>
    <row r="12" spans="1:4" x14ac:dyDescent="0.35">
      <c r="A12" s="15" t="s">
        <v>2034</v>
      </c>
      <c r="B12" t="s">
        <v>2040</v>
      </c>
    </row>
    <row r="13" spans="1:4" x14ac:dyDescent="0.35">
      <c r="A13" s="16" t="s">
        <v>30</v>
      </c>
      <c r="B13" s="17">
        <v>28485100</v>
      </c>
    </row>
    <row r="14" spans="1:4" x14ac:dyDescent="0.35">
      <c r="A14" s="16" t="s">
        <v>41</v>
      </c>
      <c r="B14" s="17">
        <v>27857410</v>
      </c>
    </row>
    <row r="15" spans="1:4" x14ac:dyDescent="0.35">
      <c r="A15" s="16" t="s">
        <v>21</v>
      </c>
      <c r="B15" s="17">
        <v>25726958</v>
      </c>
    </row>
    <row r="16" spans="1:4" x14ac:dyDescent="0.35">
      <c r="A16" s="16" t="s">
        <v>73</v>
      </c>
      <c r="B16" s="17">
        <v>30950941</v>
      </c>
    </row>
    <row r="17" spans="1:6" x14ac:dyDescent="0.35">
      <c r="A17" s="16" t="s">
        <v>2035</v>
      </c>
      <c r="B17" s="17">
        <v>113020409</v>
      </c>
    </row>
    <row r="20" spans="1:6" x14ac:dyDescent="0.35">
      <c r="A20" s="15" t="s">
        <v>2036</v>
      </c>
      <c r="B20" s="15" t="s">
        <v>2037</v>
      </c>
    </row>
    <row r="21" spans="1:6" x14ac:dyDescent="0.35">
      <c r="A21" s="15" t="s">
        <v>2034</v>
      </c>
      <c r="B21" t="s">
        <v>30</v>
      </c>
      <c r="C21" t="s">
        <v>41</v>
      </c>
      <c r="D21" t="s">
        <v>21</v>
      </c>
      <c r="E21" t="s">
        <v>73</v>
      </c>
      <c r="F21" t="s">
        <v>2035</v>
      </c>
    </row>
    <row r="22" spans="1:6" x14ac:dyDescent="0.35">
      <c r="A22" s="16" t="s">
        <v>2041</v>
      </c>
      <c r="B22">
        <v>20</v>
      </c>
      <c r="C22">
        <v>22</v>
      </c>
      <c r="D22">
        <v>8</v>
      </c>
      <c r="E22">
        <v>20</v>
      </c>
      <c r="F22">
        <v>70</v>
      </c>
    </row>
    <row r="23" spans="1:6" x14ac:dyDescent="0.35">
      <c r="A23" s="16" t="s">
        <v>2042</v>
      </c>
      <c r="B23">
        <v>11</v>
      </c>
      <c r="C23">
        <v>20</v>
      </c>
      <c r="D23">
        <v>18</v>
      </c>
      <c r="E23">
        <v>19</v>
      </c>
      <c r="F23">
        <v>68</v>
      </c>
    </row>
    <row r="24" spans="1:6" x14ac:dyDescent="0.35">
      <c r="A24" s="16" t="s">
        <v>2043</v>
      </c>
      <c r="B24">
        <v>17</v>
      </c>
      <c r="C24">
        <v>15</v>
      </c>
      <c r="D24">
        <v>17</v>
      </c>
      <c r="E24">
        <v>19</v>
      </c>
      <c r="F24">
        <v>68</v>
      </c>
    </row>
    <row r="25" spans="1:6" x14ac:dyDescent="0.35">
      <c r="A25" s="16" t="s">
        <v>2044</v>
      </c>
      <c r="B25">
        <v>13</v>
      </c>
      <c r="C25">
        <v>14</v>
      </c>
      <c r="D25">
        <v>16</v>
      </c>
      <c r="E25">
        <v>23</v>
      </c>
      <c r="F25">
        <v>66</v>
      </c>
    </row>
    <row r="26" spans="1:6" x14ac:dyDescent="0.35">
      <c r="A26" s="16" t="s">
        <v>2045</v>
      </c>
      <c r="B26">
        <v>18</v>
      </c>
      <c r="C26">
        <v>23</v>
      </c>
      <c r="D26">
        <v>18</v>
      </c>
      <c r="E26">
        <v>27</v>
      </c>
      <c r="F26">
        <v>86</v>
      </c>
    </row>
    <row r="27" spans="1:6" x14ac:dyDescent="0.35">
      <c r="A27" s="16" t="s">
        <v>2035</v>
      </c>
      <c r="B27">
        <v>79</v>
      </c>
      <c r="C27">
        <v>94</v>
      </c>
      <c r="D27">
        <v>77</v>
      </c>
      <c r="E27">
        <v>108</v>
      </c>
      <c r="F27">
        <v>358</v>
      </c>
    </row>
    <row r="31" spans="1:6" x14ac:dyDescent="0.35">
      <c r="A31" s="15" t="s">
        <v>2034</v>
      </c>
      <c r="B31" t="s">
        <v>2040</v>
      </c>
    </row>
    <row r="32" spans="1:6" x14ac:dyDescent="0.35">
      <c r="A32" s="16" t="s">
        <v>187</v>
      </c>
      <c r="B32" s="17">
        <v>11822107</v>
      </c>
    </row>
    <row r="33" spans="1:2" x14ac:dyDescent="0.35">
      <c r="A33" s="16" t="s">
        <v>20</v>
      </c>
      <c r="B33" s="17">
        <v>17194264</v>
      </c>
    </row>
    <row r="34" spans="1:2" x14ac:dyDescent="0.35">
      <c r="A34" s="16" t="s">
        <v>80</v>
      </c>
      <c r="B34" s="17">
        <v>14736347</v>
      </c>
    </row>
    <row r="35" spans="1:2" x14ac:dyDescent="0.35">
      <c r="A35" s="16" t="s">
        <v>56</v>
      </c>
      <c r="B35" s="17">
        <v>14757305</v>
      </c>
    </row>
    <row r="36" spans="1:2" x14ac:dyDescent="0.35">
      <c r="A36" s="16" t="s">
        <v>3</v>
      </c>
      <c r="B36" s="17">
        <v>23542690</v>
      </c>
    </row>
    <row r="37" spans="1:2" x14ac:dyDescent="0.35">
      <c r="A37" s="16" t="s">
        <v>61</v>
      </c>
      <c r="B37" s="17">
        <v>15559564</v>
      </c>
    </row>
    <row r="38" spans="1:2" x14ac:dyDescent="0.35">
      <c r="A38" s="16" t="s">
        <v>1</v>
      </c>
      <c r="B38" s="17">
        <v>15408132</v>
      </c>
    </row>
    <row r="39" spans="1:2" x14ac:dyDescent="0.35">
      <c r="A39" s="16" t="s">
        <v>2035</v>
      </c>
      <c r="B39" s="17">
        <v>113020409</v>
      </c>
    </row>
    <row r="64" spans="1:2" x14ac:dyDescent="0.35">
      <c r="A64" s="15" t="s">
        <v>2052</v>
      </c>
      <c r="B64" s="15" t="s">
        <v>2037</v>
      </c>
    </row>
    <row r="65" spans="1:6" x14ac:dyDescent="0.35">
      <c r="A65" s="15" t="s">
        <v>2034</v>
      </c>
      <c r="B65" t="s">
        <v>2048</v>
      </c>
      <c r="C65" t="s">
        <v>2049</v>
      </c>
      <c r="D65" t="s">
        <v>2050</v>
      </c>
      <c r="E65" t="s">
        <v>2051</v>
      </c>
      <c r="F65" t="s">
        <v>2035</v>
      </c>
    </row>
    <row r="66" spans="1:6" x14ac:dyDescent="0.35">
      <c r="A66" s="16" t="s">
        <v>187</v>
      </c>
      <c r="B66">
        <v>8</v>
      </c>
      <c r="C66">
        <v>17</v>
      </c>
      <c r="D66">
        <v>38</v>
      </c>
      <c r="E66">
        <v>33</v>
      </c>
      <c r="F66">
        <v>96</v>
      </c>
    </row>
    <row r="67" spans="1:6" x14ac:dyDescent="0.35">
      <c r="A67" s="16" t="s">
        <v>20</v>
      </c>
      <c r="B67">
        <v>20</v>
      </c>
      <c r="C67">
        <v>25</v>
      </c>
      <c r="D67">
        <v>51</v>
      </c>
      <c r="E67">
        <v>62</v>
      </c>
      <c r="F67">
        <v>158</v>
      </c>
    </row>
    <row r="68" spans="1:6" x14ac:dyDescent="0.35">
      <c r="A68" s="16" t="s">
        <v>80</v>
      </c>
      <c r="B68">
        <v>20</v>
      </c>
      <c r="C68">
        <v>14</v>
      </c>
      <c r="D68">
        <v>47</v>
      </c>
      <c r="E68">
        <v>39</v>
      </c>
      <c r="F68">
        <v>120</v>
      </c>
    </row>
    <row r="69" spans="1:6" x14ac:dyDescent="0.35">
      <c r="A69" s="16" t="s">
        <v>56</v>
      </c>
      <c r="B69">
        <v>14</v>
      </c>
      <c r="C69">
        <v>14</v>
      </c>
      <c r="D69">
        <v>58</v>
      </c>
      <c r="E69">
        <v>39</v>
      </c>
      <c r="F69">
        <v>125</v>
      </c>
    </row>
    <row r="70" spans="1:6" x14ac:dyDescent="0.35">
      <c r="A70" s="16" t="s">
        <v>3</v>
      </c>
      <c r="B70">
        <v>19</v>
      </c>
      <c r="C70">
        <v>34</v>
      </c>
      <c r="D70">
        <v>93</v>
      </c>
      <c r="E70">
        <v>95</v>
      </c>
      <c r="F70">
        <v>241</v>
      </c>
    </row>
    <row r="71" spans="1:6" x14ac:dyDescent="0.35">
      <c r="A71" s="16" t="s">
        <v>61</v>
      </c>
      <c r="B71">
        <v>16</v>
      </c>
      <c r="C71">
        <v>22</v>
      </c>
      <c r="D71">
        <v>53</v>
      </c>
      <c r="E71">
        <v>29</v>
      </c>
      <c r="F71">
        <v>120</v>
      </c>
    </row>
    <row r="72" spans="1:6" x14ac:dyDescent="0.35">
      <c r="A72" s="16" t="s">
        <v>1</v>
      </c>
      <c r="B72">
        <v>16</v>
      </c>
      <c r="C72">
        <v>24</v>
      </c>
      <c r="D72">
        <v>54</v>
      </c>
      <c r="E72">
        <v>46</v>
      </c>
      <c r="F72">
        <v>140</v>
      </c>
    </row>
    <row r="73" spans="1:6" x14ac:dyDescent="0.35">
      <c r="A73" s="16" t="s">
        <v>2035</v>
      </c>
      <c r="B73">
        <v>113</v>
      </c>
      <c r="C73">
        <v>150</v>
      </c>
      <c r="D73">
        <v>394</v>
      </c>
      <c r="E73">
        <v>343</v>
      </c>
      <c r="F73">
        <v>1000</v>
      </c>
    </row>
    <row r="76" spans="1:6" x14ac:dyDescent="0.35">
      <c r="A76" s="15" t="s">
        <v>2034</v>
      </c>
      <c r="B76" t="s">
        <v>2036</v>
      </c>
    </row>
    <row r="77" spans="1:6" x14ac:dyDescent="0.35">
      <c r="A77" s="16" t="s">
        <v>162</v>
      </c>
      <c r="B77">
        <v>21</v>
      </c>
    </row>
    <row r="78" spans="1:6" x14ac:dyDescent="0.35">
      <c r="A78" s="16" t="s">
        <v>2</v>
      </c>
      <c r="B78">
        <v>51</v>
      </c>
    </row>
    <row r="79" spans="1:6" x14ac:dyDescent="0.35">
      <c r="A79" s="16" t="s">
        <v>144</v>
      </c>
      <c r="B79">
        <v>53</v>
      </c>
    </row>
    <row r="80" spans="1:6" x14ac:dyDescent="0.35">
      <c r="A80" s="16" t="s">
        <v>658</v>
      </c>
      <c r="B80">
        <v>7</v>
      </c>
    </row>
    <row r="81" spans="1:2" x14ac:dyDescent="0.35">
      <c r="A81" s="16" t="s">
        <v>106</v>
      </c>
      <c r="B81">
        <v>19</v>
      </c>
    </row>
    <row r="82" spans="1:2" x14ac:dyDescent="0.35">
      <c r="A82" s="16" t="s">
        <v>65</v>
      </c>
      <c r="B82">
        <v>15</v>
      </c>
    </row>
    <row r="83" spans="1:2" x14ac:dyDescent="0.35">
      <c r="A83" s="16" t="s">
        <v>335</v>
      </c>
      <c r="B83">
        <v>21</v>
      </c>
    </row>
    <row r="84" spans="1:2" x14ac:dyDescent="0.35">
      <c r="A84" s="16" t="s">
        <v>130</v>
      </c>
      <c r="B84">
        <v>15</v>
      </c>
    </row>
    <row r="85" spans="1:2" x14ac:dyDescent="0.35">
      <c r="A85" s="16" t="s">
        <v>446</v>
      </c>
      <c r="B85">
        <v>19</v>
      </c>
    </row>
    <row r="86" spans="1:2" x14ac:dyDescent="0.35">
      <c r="A86" s="16" t="s">
        <v>29</v>
      </c>
      <c r="B86">
        <v>121</v>
      </c>
    </row>
    <row r="87" spans="1:2" x14ac:dyDescent="0.35">
      <c r="A87" s="16" t="s">
        <v>19</v>
      </c>
      <c r="B87">
        <v>20</v>
      </c>
    </row>
    <row r="88" spans="1:2" x14ac:dyDescent="0.35">
      <c r="A88" s="16" t="s">
        <v>329</v>
      </c>
      <c r="B88">
        <v>18</v>
      </c>
    </row>
    <row r="89" spans="1:2" x14ac:dyDescent="0.35">
      <c r="A89" s="16" t="s">
        <v>40</v>
      </c>
      <c r="B89">
        <v>21</v>
      </c>
    </row>
    <row r="90" spans="1:2" x14ac:dyDescent="0.35">
      <c r="A90" s="16" t="s">
        <v>342</v>
      </c>
      <c r="B90">
        <v>16</v>
      </c>
    </row>
    <row r="91" spans="1:2" x14ac:dyDescent="0.35">
      <c r="A91" s="16" t="s">
        <v>169</v>
      </c>
      <c r="B91">
        <v>11</v>
      </c>
    </row>
    <row r="92" spans="1:2" x14ac:dyDescent="0.35">
      <c r="A92" s="16" t="s">
        <v>250</v>
      </c>
      <c r="B92">
        <v>12</v>
      </c>
    </row>
    <row r="93" spans="1:2" x14ac:dyDescent="0.35">
      <c r="A93" s="16" t="s">
        <v>60</v>
      </c>
      <c r="B93">
        <v>97</v>
      </c>
    </row>
    <row r="94" spans="1:2" x14ac:dyDescent="0.35">
      <c r="A94" s="16" t="s">
        <v>50</v>
      </c>
      <c r="B94">
        <v>1</v>
      </c>
    </row>
    <row r="95" spans="1:2" x14ac:dyDescent="0.35">
      <c r="A95" s="16" t="s">
        <v>469</v>
      </c>
      <c r="B95">
        <v>10</v>
      </c>
    </row>
    <row r="96" spans="1:2" x14ac:dyDescent="0.35">
      <c r="A96" s="16" t="s">
        <v>183</v>
      </c>
      <c r="B96">
        <v>18</v>
      </c>
    </row>
    <row r="97" spans="1:2" x14ac:dyDescent="0.35">
      <c r="A97" s="16" t="s">
        <v>179</v>
      </c>
      <c r="B97">
        <v>7</v>
      </c>
    </row>
    <row r="98" spans="1:2" x14ac:dyDescent="0.35">
      <c r="A98" s="16" t="s">
        <v>69</v>
      </c>
      <c r="B98">
        <v>12</v>
      </c>
    </row>
    <row r="99" spans="1:2" x14ac:dyDescent="0.35">
      <c r="A99" s="16" t="s">
        <v>234</v>
      </c>
      <c r="B99">
        <v>20</v>
      </c>
    </row>
    <row r="100" spans="1:2" x14ac:dyDescent="0.35">
      <c r="A100" s="16" t="s">
        <v>274</v>
      </c>
      <c r="B100">
        <v>10</v>
      </c>
    </row>
    <row r="101" spans="1:2" x14ac:dyDescent="0.35">
      <c r="A101" s="16" t="s">
        <v>536</v>
      </c>
      <c r="B101">
        <v>15</v>
      </c>
    </row>
    <row r="102" spans="1:2" x14ac:dyDescent="0.35">
      <c r="A102" s="16" t="s">
        <v>319</v>
      </c>
      <c r="B102">
        <v>9</v>
      </c>
    </row>
    <row r="103" spans="1:2" x14ac:dyDescent="0.35">
      <c r="A103" s="16" t="s">
        <v>45</v>
      </c>
      <c r="B103">
        <v>70</v>
      </c>
    </row>
    <row r="104" spans="1:2" x14ac:dyDescent="0.35">
      <c r="A104" s="16" t="s">
        <v>55</v>
      </c>
      <c r="B104">
        <v>17</v>
      </c>
    </row>
    <row r="105" spans="1:2" x14ac:dyDescent="0.35">
      <c r="A105" s="16" t="s">
        <v>102</v>
      </c>
      <c r="B105">
        <v>110</v>
      </c>
    </row>
    <row r="106" spans="1:2" x14ac:dyDescent="0.35">
      <c r="A106" s="16" t="s">
        <v>123</v>
      </c>
      <c r="B106">
        <v>15</v>
      </c>
    </row>
    <row r="107" spans="1:2" x14ac:dyDescent="0.35">
      <c r="A107" s="16" t="s">
        <v>137</v>
      </c>
      <c r="B107">
        <v>15</v>
      </c>
    </row>
    <row r="108" spans="1:2" x14ac:dyDescent="0.35">
      <c r="A108" s="16" t="s">
        <v>34</v>
      </c>
      <c r="B108">
        <v>17</v>
      </c>
    </row>
    <row r="109" spans="1:2" x14ac:dyDescent="0.35">
      <c r="A109" s="16" t="s">
        <v>540</v>
      </c>
      <c r="B109">
        <v>12</v>
      </c>
    </row>
    <row r="110" spans="1:2" x14ac:dyDescent="0.35">
      <c r="A110" s="16" t="s">
        <v>110</v>
      </c>
      <c r="B110">
        <v>105</v>
      </c>
    </row>
    <row r="111" spans="1:2" x14ac:dyDescent="0.35">
      <c r="A111" s="16" t="s">
        <v>2035</v>
      </c>
      <c r="B111">
        <v>1000</v>
      </c>
    </row>
    <row r="118" spans="1:9" x14ac:dyDescent="0.35">
      <c r="A118" s="15" t="s">
        <v>2040</v>
      </c>
      <c r="B118" s="15" t="s">
        <v>2037</v>
      </c>
    </row>
    <row r="119" spans="1:9" x14ac:dyDescent="0.35">
      <c r="A119" s="15" t="s">
        <v>2034</v>
      </c>
      <c r="B119" t="s">
        <v>187</v>
      </c>
      <c r="C119" t="s">
        <v>20</v>
      </c>
      <c r="D119" t="s">
        <v>80</v>
      </c>
      <c r="E119" t="s">
        <v>56</v>
      </c>
      <c r="F119" t="s">
        <v>3</v>
      </c>
      <c r="G119" t="s">
        <v>61</v>
      </c>
      <c r="H119" t="s">
        <v>1</v>
      </c>
      <c r="I119" t="s">
        <v>2035</v>
      </c>
    </row>
    <row r="120" spans="1:9" x14ac:dyDescent="0.35">
      <c r="A120" s="16" t="s">
        <v>162</v>
      </c>
      <c r="B120" s="17"/>
      <c r="C120" s="17"/>
      <c r="D120" s="17"/>
      <c r="E120" s="17"/>
      <c r="F120" s="17"/>
      <c r="G120" s="17"/>
      <c r="H120" s="17">
        <v>1307914</v>
      </c>
      <c r="I120" s="17">
        <v>1307914</v>
      </c>
    </row>
    <row r="121" spans="1:9" x14ac:dyDescent="0.35">
      <c r="A121" s="16" t="s">
        <v>2</v>
      </c>
      <c r="B121" s="17">
        <v>743293</v>
      </c>
      <c r="C121" s="17"/>
      <c r="D121" s="17">
        <v>732544</v>
      </c>
      <c r="E121" s="17"/>
      <c r="F121" s="17"/>
      <c r="G121" s="17">
        <v>574682</v>
      </c>
      <c r="H121" s="17">
        <v>496965</v>
      </c>
      <c r="I121" s="17">
        <v>2547484</v>
      </c>
    </row>
    <row r="122" spans="1:9" x14ac:dyDescent="0.35">
      <c r="A122" s="16" t="s">
        <v>144</v>
      </c>
      <c r="B122" s="17">
        <v>411988</v>
      </c>
      <c r="C122" s="17"/>
      <c r="D122" s="17">
        <v>1182054</v>
      </c>
      <c r="E122" s="17"/>
      <c r="F122" s="17"/>
      <c r="G122" s="17">
        <v>859165</v>
      </c>
      <c r="H122" s="17">
        <v>867109</v>
      </c>
      <c r="I122" s="17">
        <v>3320316</v>
      </c>
    </row>
    <row r="123" spans="1:9" x14ac:dyDescent="0.35">
      <c r="A123" s="16" t="s">
        <v>658</v>
      </c>
      <c r="B123" s="17"/>
      <c r="C123" s="17">
        <v>665748</v>
      </c>
      <c r="D123" s="17"/>
      <c r="E123" s="17"/>
      <c r="F123" s="17"/>
      <c r="G123" s="17"/>
      <c r="H123" s="17"/>
      <c r="I123" s="17">
        <v>665748</v>
      </c>
    </row>
    <row r="124" spans="1:9" x14ac:dyDescent="0.35">
      <c r="A124" s="16" t="s">
        <v>106</v>
      </c>
      <c r="B124" s="17"/>
      <c r="C124" s="17"/>
      <c r="D124" s="17"/>
      <c r="E124" s="17">
        <v>941636</v>
      </c>
      <c r="F124" s="17"/>
      <c r="G124" s="17"/>
      <c r="H124" s="17"/>
      <c r="I124" s="17">
        <v>941636</v>
      </c>
    </row>
    <row r="125" spans="1:9" x14ac:dyDescent="0.35">
      <c r="A125" s="16" t="s">
        <v>65</v>
      </c>
      <c r="B125" s="17"/>
      <c r="C125" s="17"/>
      <c r="D125" s="17"/>
      <c r="E125" s="17"/>
      <c r="F125" s="17">
        <v>1304420</v>
      </c>
      <c r="G125" s="17"/>
      <c r="H125" s="17"/>
      <c r="I125" s="17">
        <v>1304420</v>
      </c>
    </row>
    <row r="126" spans="1:9" x14ac:dyDescent="0.35">
      <c r="A126" s="16" t="s">
        <v>335</v>
      </c>
      <c r="B126" s="17"/>
      <c r="C126" s="17"/>
      <c r="D126" s="17"/>
      <c r="E126" s="17"/>
      <c r="F126" s="17">
        <v>1687283</v>
      </c>
      <c r="G126" s="17"/>
      <c r="H126" s="17"/>
      <c r="I126" s="17">
        <v>1687283</v>
      </c>
    </row>
    <row r="127" spans="1:9" x14ac:dyDescent="0.35">
      <c r="A127" s="16" t="s">
        <v>130</v>
      </c>
      <c r="B127" s="17"/>
      <c r="C127" s="17">
        <v>1494392</v>
      </c>
      <c r="D127" s="17"/>
      <c r="E127" s="17"/>
      <c r="F127" s="17"/>
      <c r="G127" s="17"/>
      <c r="H127" s="17"/>
      <c r="I127" s="17">
        <v>1494392</v>
      </c>
    </row>
    <row r="128" spans="1:9" x14ac:dyDescent="0.35">
      <c r="A128" s="16" t="s">
        <v>446</v>
      </c>
      <c r="B128" s="17"/>
      <c r="C128" s="17">
        <v>1479895</v>
      </c>
      <c r="D128" s="17"/>
      <c r="E128" s="17"/>
      <c r="F128" s="17"/>
      <c r="G128" s="17"/>
      <c r="H128" s="17"/>
      <c r="I128" s="17">
        <v>1479895</v>
      </c>
    </row>
    <row r="129" spans="1:9" x14ac:dyDescent="0.35">
      <c r="A129" s="16" t="s">
        <v>29</v>
      </c>
      <c r="B129" s="17">
        <v>2837981</v>
      </c>
      <c r="C129" s="17">
        <v>3658741</v>
      </c>
      <c r="D129" s="17">
        <v>2865437</v>
      </c>
      <c r="E129" s="17">
        <v>3252635</v>
      </c>
      <c r="F129" s="17">
        <v>1860072</v>
      </c>
      <c r="G129" s="17">
        <v>3105740</v>
      </c>
      <c r="H129" s="17">
        <v>3048242</v>
      </c>
      <c r="I129" s="17">
        <v>20628848</v>
      </c>
    </row>
    <row r="130" spans="1:9" x14ac:dyDescent="0.35">
      <c r="A130" s="16" t="s">
        <v>19</v>
      </c>
      <c r="B130" s="17"/>
      <c r="C130" s="17">
        <v>2003777</v>
      </c>
      <c r="D130" s="17"/>
      <c r="E130" s="17"/>
      <c r="F130" s="17"/>
      <c r="G130" s="17"/>
      <c r="H130" s="17"/>
      <c r="I130" s="17">
        <v>2003777</v>
      </c>
    </row>
    <row r="131" spans="1:9" x14ac:dyDescent="0.35">
      <c r="A131" s="16" t="s">
        <v>329</v>
      </c>
      <c r="B131" s="17"/>
      <c r="C131" s="17"/>
      <c r="D131" s="17"/>
      <c r="E131" s="17"/>
      <c r="F131" s="17">
        <v>1524576</v>
      </c>
      <c r="G131" s="17"/>
      <c r="H131" s="17"/>
      <c r="I131" s="17">
        <v>1524576</v>
      </c>
    </row>
    <row r="132" spans="1:9" x14ac:dyDescent="0.35">
      <c r="A132" s="16" t="s">
        <v>40</v>
      </c>
      <c r="B132" s="17"/>
      <c r="C132" s="17">
        <v>1657508</v>
      </c>
      <c r="D132" s="17"/>
      <c r="E132" s="17"/>
      <c r="F132" s="17"/>
      <c r="G132" s="17"/>
      <c r="H132" s="17"/>
      <c r="I132" s="17">
        <v>1657508</v>
      </c>
    </row>
    <row r="133" spans="1:9" x14ac:dyDescent="0.35">
      <c r="A133" s="16" t="s">
        <v>342</v>
      </c>
      <c r="B133" s="17"/>
      <c r="C133" s="17"/>
      <c r="D133" s="17"/>
      <c r="E133" s="17">
        <v>988166</v>
      </c>
      <c r="F133" s="17"/>
      <c r="G133" s="17"/>
      <c r="H133" s="17"/>
      <c r="I133" s="17">
        <v>988166</v>
      </c>
    </row>
    <row r="134" spans="1:9" x14ac:dyDescent="0.35">
      <c r="A134" s="16" t="s">
        <v>169</v>
      </c>
      <c r="B134" s="17"/>
      <c r="C134" s="17"/>
      <c r="D134" s="17"/>
      <c r="E134" s="17"/>
      <c r="F134" s="17">
        <v>528269</v>
      </c>
      <c r="G134" s="17"/>
      <c r="H134" s="17"/>
      <c r="I134" s="17">
        <v>528269</v>
      </c>
    </row>
    <row r="135" spans="1:9" x14ac:dyDescent="0.35">
      <c r="A135" s="16" t="s">
        <v>250</v>
      </c>
      <c r="B135" s="17"/>
      <c r="C135" s="17"/>
      <c r="D135" s="17"/>
      <c r="E135" s="17"/>
      <c r="F135" s="17">
        <v>977962</v>
      </c>
      <c r="G135" s="17"/>
      <c r="H135" s="17"/>
      <c r="I135" s="17">
        <v>977962</v>
      </c>
    </row>
    <row r="136" spans="1:9" x14ac:dyDescent="0.35">
      <c r="A136" s="16" t="s">
        <v>60</v>
      </c>
      <c r="B136" s="17">
        <v>1891192</v>
      </c>
      <c r="C136" s="17"/>
      <c r="D136" s="17">
        <v>1925446</v>
      </c>
      <c r="E136" s="17">
        <v>2115070</v>
      </c>
      <c r="F136" s="17">
        <v>1150232</v>
      </c>
      <c r="G136" s="17">
        <v>2181784</v>
      </c>
      <c r="H136" s="17">
        <v>1714491</v>
      </c>
      <c r="I136" s="17">
        <v>10978215</v>
      </c>
    </row>
    <row r="137" spans="1:9" x14ac:dyDescent="0.35">
      <c r="A137" s="16" t="s">
        <v>50</v>
      </c>
      <c r="B137" s="17"/>
      <c r="C137" s="17"/>
      <c r="D137" s="17"/>
      <c r="E137" s="17"/>
      <c r="F137" s="17">
        <v>122802</v>
      </c>
      <c r="G137" s="17"/>
      <c r="H137" s="17"/>
      <c r="I137" s="17">
        <v>122802</v>
      </c>
    </row>
    <row r="138" spans="1:9" x14ac:dyDescent="0.35">
      <c r="A138" s="16" t="s">
        <v>469</v>
      </c>
      <c r="B138" s="17"/>
      <c r="C138" s="17"/>
      <c r="D138" s="17"/>
      <c r="E138" s="17"/>
      <c r="F138" s="17">
        <v>759084</v>
      </c>
      <c r="G138" s="17"/>
      <c r="H138" s="17"/>
      <c r="I138" s="17">
        <v>759084</v>
      </c>
    </row>
    <row r="139" spans="1:9" x14ac:dyDescent="0.35">
      <c r="A139" s="16" t="s">
        <v>183</v>
      </c>
      <c r="B139" s="17"/>
      <c r="C139" s="17"/>
      <c r="D139" s="17"/>
      <c r="E139" s="17"/>
      <c r="F139" s="17">
        <v>1441666</v>
      </c>
      <c r="G139" s="17"/>
      <c r="H139" s="17"/>
      <c r="I139" s="17">
        <v>1441666</v>
      </c>
    </row>
    <row r="140" spans="1:9" x14ac:dyDescent="0.35">
      <c r="A140" s="16" t="s">
        <v>179</v>
      </c>
      <c r="B140" s="17"/>
      <c r="C140" s="17"/>
      <c r="D140" s="17"/>
      <c r="E140" s="17"/>
      <c r="F140" s="17">
        <v>519202</v>
      </c>
      <c r="G140" s="17"/>
      <c r="H140" s="17"/>
      <c r="I140" s="17">
        <v>519202</v>
      </c>
    </row>
    <row r="141" spans="1:9" x14ac:dyDescent="0.35">
      <c r="A141" s="16" t="s">
        <v>69</v>
      </c>
      <c r="B141" s="17"/>
      <c r="C141" s="17">
        <v>1213623</v>
      </c>
      <c r="D141" s="17"/>
      <c r="E141" s="17"/>
      <c r="F141" s="17"/>
      <c r="G141" s="17"/>
      <c r="H141" s="17"/>
      <c r="I141" s="17">
        <v>1213623</v>
      </c>
    </row>
    <row r="142" spans="1:9" x14ac:dyDescent="0.35">
      <c r="A142" s="16" t="s">
        <v>234</v>
      </c>
      <c r="B142" s="17"/>
      <c r="C142" s="17">
        <v>1671288</v>
      </c>
      <c r="D142" s="17"/>
      <c r="E142" s="17"/>
      <c r="F142" s="17"/>
      <c r="G142" s="17"/>
      <c r="H142" s="17"/>
      <c r="I142" s="17">
        <v>1671288</v>
      </c>
    </row>
    <row r="143" spans="1:9" x14ac:dyDescent="0.35">
      <c r="A143" s="16" t="s">
        <v>274</v>
      </c>
      <c r="B143" s="17"/>
      <c r="C143" s="17"/>
      <c r="D143" s="17"/>
      <c r="E143" s="17"/>
      <c r="F143" s="17">
        <v>823292</v>
      </c>
      <c r="G143" s="17"/>
      <c r="H143" s="17"/>
      <c r="I143" s="17">
        <v>823292</v>
      </c>
    </row>
    <row r="144" spans="1:9" x14ac:dyDescent="0.35">
      <c r="A144" s="16" t="s">
        <v>536</v>
      </c>
      <c r="B144" s="17"/>
      <c r="C144" s="17"/>
      <c r="D144" s="17"/>
      <c r="E144" s="17"/>
      <c r="F144" s="17">
        <v>1172449</v>
      </c>
      <c r="G144" s="17"/>
      <c r="H144" s="17"/>
      <c r="I144" s="17">
        <v>1172449</v>
      </c>
    </row>
    <row r="145" spans="1:9" x14ac:dyDescent="0.35">
      <c r="A145" s="16" t="s">
        <v>319</v>
      </c>
      <c r="B145" s="17"/>
      <c r="C145" s="17"/>
      <c r="D145" s="17"/>
      <c r="E145" s="17"/>
      <c r="F145" s="17"/>
      <c r="G145" s="17"/>
      <c r="H145" s="17">
        <v>763274</v>
      </c>
      <c r="I145" s="17">
        <v>763274</v>
      </c>
    </row>
    <row r="146" spans="1:9" x14ac:dyDescent="0.35">
      <c r="A146" s="16" t="s">
        <v>45</v>
      </c>
      <c r="B146" s="17">
        <v>1667290</v>
      </c>
      <c r="C146" s="17"/>
      <c r="D146" s="17">
        <v>1034150</v>
      </c>
      <c r="E146" s="17"/>
      <c r="F146" s="17"/>
      <c r="G146" s="17">
        <v>1550777</v>
      </c>
      <c r="H146" s="17">
        <v>1795990</v>
      </c>
      <c r="I146" s="17">
        <v>6048207</v>
      </c>
    </row>
    <row r="147" spans="1:9" x14ac:dyDescent="0.35">
      <c r="A147" s="16" t="s">
        <v>55</v>
      </c>
      <c r="B147" s="17"/>
      <c r="C147" s="17"/>
      <c r="D147" s="17"/>
      <c r="E147" s="17">
        <v>1445601</v>
      </c>
      <c r="F147" s="17"/>
      <c r="G147" s="17"/>
      <c r="H147" s="17"/>
      <c r="I147" s="17">
        <v>1445601</v>
      </c>
    </row>
    <row r="148" spans="1:9" x14ac:dyDescent="0.35">
      <c r="A148" s="16" t="s">
        <v>102</v>
      </c>
      <c r="B148" s="17">
        <v>1574951</v>
      </c>
      <c r="C148" s="17"/>
      <c r="D148" s="17">
        <v>3400337</v>
      </c>
      <c r="E148" s="17">
        <v>2785069</v>
      </c>
      <c r="F148" s="17">
        <v>2192452</v>
      </c>
      <c r="G148" s="17">
        <v>2832516</v>
      </c>
      <c r="H148" s="17">
        <v>2732129</v>
      </c>
      <c r="I148" s="17">
        <v>15517454</v>
      </c>
    </row>
    <row r="149" spans="1:9" x14ac:dyDescent="0.35">
      <c r="A149" s="16" t="s">
        <v>123</v>
      </c>
      <c r="B149" s="17"/>
      <c r="C149" s="17"/>
      <c r="D149" s="17"/>
      <c r="E149" s="17"/>
      <c r="F149" s="17">
        <v>1197790</v>
      </c>
      <c r="G149" s="17"/>
      <c r="H149" s="17"/>
      <c r="I149" s="17">
        <v>1197790</v>
      </c>
    </row>
    <row r="150" spans="1:9" x14ac:dyDescent="0.35">
      <c r="A150" s="16" t="s">
        <v>137</v>
      </c>
      <c r="B150" s="17"/>
      <c r="C150" s="17"/>
      <c r="D150" s="17"/>
      <c r="E150" s="17"/>
      <c r="F150" s="17">
        <v>707010</v>
      </c>
      <c r="G150" s="17"/>
      <c r="H150" s="17"/>
      <c r="I150" s="17">
        <v>707010</v>
      </c>
    </row>
    <row r="151" spans="1:9" x14ac:dyDescent="0.35">
      <c r="A151" s="16" t="s">
        <v>34</v>
      </c>
      <c r="B151" s="17"/>
      <c r="C151" s="17"/>
      <c r="D151" s="17"/>
      <c r="E151" s="17"/>
      <c r="F151" s="17">
        <v>1356155</v>
      </c>
      <c r="G151" s="17"/>
      <c r="H151" s="17"/>
      <c r="I151" s="17">
        <v>1356155</v>
      </c>
    </row>
    <row r="152" spans="1:9" x14ac:dyDescent="0.35">
      <c r="A152" s="16" t="s">
        <v>540</v>
      </c>
      <c r="B152" s="17"/>
      <c r="C152" s="17">
        <v>894610</v>
      </c>
      <c r="D152" s="17"/>
      <c r="E152" s="17"/>
      <c r="F152" s="17"/>
      <c r="G152" s="17"/>
      <c r="H152" s="17"/>
      <c r="I152" s="17">
        <v>894610</v>
      </c>
    </row>
    <row r="153" spans="1:9" x14ac:dyDescent="0.35">
      <c r="A153" s="16" t="s">
        <v>110</v>
      </c>
      <c r="B153" s="17">
        <v>2695412</v>
      </c>
      <c r="C153" s="17">
        <v>2454682</v>
      </c>
      <c r="D153" s="17">
        <v>3596379</v>
      </c>
      <c r="E153" s="17">
        <v>3229128</v>
      </c>
      <c r="F153" s="17">
        <v>4217974</v>
      </c>
      <c r="G153" s="17">
        <v>4454900</v>
      </c>
      <c r="H153" s="17">
        <v>2682018</v>
      </c>
      <c r="I153" s="17">
        <v>23330493</v>
      </c>
    </row>
    <row r="154" spans="1:9" x14ac:dyDescent="0.35">
      <c r="A154" s="16" t="s">
        <v>2035</v>
      </c>
      <c r="B154" s="17">
        <v>11822107</v>
      </c>
      <c r="C154" s="17">
        <v>17194264</v>
      </c>
      <c r="D154" s="17">
        <v>14736347</v>
      </c>
      <c r="E154" s="17">
        <v>14757305</v>
      </c>
      <c r="F154" s="17">
        <v>23542690</v>
      </c>
      <c r="G154" s="17">
        <v>15559564</v>
      </c>
      <c r="H154" s="17">
        <v>15408132</v>
      </c>
      <c r="I154" s="17">
        <v>113020409</v>
      </c>
    </row>
    <row r="158" spans="1:9" x14ac:dyDescent="0.35">
      <c r="A158" s="15" t="s">
        <v>2034</v>
      </c>
      <c r="B158" t="s">
        <v>2036</v>
      </c>
    </row>
    <row r="159" spans="1:9" x14ac:dyDescent="0.35">
      <c r="A159" s="16" t="s">
        <v>187</v>
      </c>
      <c r="B159">
        <v>96</v>
      </c>
    </row>
    <row r="160" spans="1:9" x14ac:dyDescent="0.35">
      <c r="A160" s="16" t="s">
        <v>20</v>
      </c>
      <c r="B160">
        <v>158</v>
      </c>
    </row>
    <row r="161" spans="1:2" x14ac:dyDescent="0.35">
      <c r="A161" s="16" t="s">
        <v>80</v>
      </c>
      <c r="B161">
        <v>120</v>
      </c>
    </row>
    <row r="162" spans="1:2" x14ac:dyDescent="0.35">
      <c r="A162" s="16" t="s">
        <v>56</v>
      </c>
      <c r="B162">
        <v>125</v>
      </c>
    </row>
    <row r="163" spans="1:2" x14ac:dyDescent="0.35">
      <c r="A163" s="16" t="s">
        <v>3</v>
      </c>
      <c r="B163">
        <v>241</v>
      </c>
    </row>
    <row r="164" spans="1:2" x14ac:dyDescent="0.35">
      <c r="A164" s="16" t="s">
        <v>61</v>
      </c>
      <c r="B164">
        <v>120</v>
      </c>
    </row>
    <row r="165" spans="1:2" x14ac:dyDescent="0.35">
      <c r="A165" s="16" t="s">
        <v>1</v>
      </c>
      <c r="B165">
        <v>140</v>
      </c>
    </row>
    <row r="166" spans="1:2" x14ac:dyDescent="0.35">
      <c r="A166" s="16" t="s">
        <v>2035</v>
      </c>
      <c r="B166">
        <v>1000</v>
      </c>
    </row>
    <row r="181" spans="1:2" x14ac:dyDescent="0.35">
      <c r="A181" s="15" t="s">
        <v>2034</v>
      </c>
      <c r="B181" t="s">
        <v>2053</v>
      </c>
    </row>
    <row r="182" spans="1:2" x14ac:dyDescent="0.35">
      <c r="A182" s="16" t="s">
        <v>187</v>
      </c>
      <c r="B182" s="20">
        <v>0.10802083333333334</v>
      </c>
    </row>
    <row r="183" spans="1:2" x14ac:dyDescent="0.35">
      <c r="A183" s="16" t="s">
        <v>20</v>
      </c>
      <c r="B183" s="20">
        <v>0.10727848101265829</v>
      </c>
    </row>
    <row r="184" spans="1:2" x14ac:dyDescent="0.35">
      <c r="A184" s="16" t="s">
        <v>80</v>
      </c>
      <c r="B184" s="20">
        <v>0.10491666666666671</v>
      </c>
    </row>
    <row r="185" spans="1:2" x14ac:dyDescent="0.35">
      <c r="A185" s="16" t="s">
        <v>56</v>
      </c>
      <c r="B185" s="20">
        <v>0.10400000000000001</v>
      </c>
    </row>
    <row r="186" spans="1:2" x14ac:dyDescent="0.35">
      <c r="A186" s="16" t="s">
        <v>3</v>
      </c>
      <c r="B186" s="20">
        <v>0.10908713692946066</v>
      </c>
    </row>
    <row r="187" spans="1:2" x14ac:dyDescent="0.35">
      <c r="A187" s="16" t="s">
        <v>61</v>
      </c>
      <c r="B187" s="20">
        <v>0.11250000000000006</v>
      </c>
    </row>
    <row r="188" spans="1:2" x14ac:dyDescent="0.35">
      <c r="A188" s="16" t="s">
        <v>1</v>
      </c>
      <c r="B188" s="20">
        <v>0.11164285714285721</v>
      </c>
    </row>
    <row r="189" spans="1:2" x14ac:dyDescent="0.35">
      <c r="A189" s="16" t="s">
        <v>2035</v>
      </c>
      <c r="B189" s="20">
        <v>0.10832999999999979</v>
      </c>
    </row>
    <row r="193" spans="1:2" x14ac:dyDescent="0.35">
      <c r="A193" s="15" t="s">
        <v>2034</v>
      </c>
      <c r="B193" t="s">
        <v>2053</v>
      </c>
    </row>
    <row r="194" spans="1:2" x14ac:dyDescent="0.35">
      <c r="A194" s="16" t="s">
        <v>30</v>
      </c>
      <c r="B194" s="20">
        <v>0.11000000000000014</v>
      </c>
    </row>
    <row r="195" spans="1:2" x14ac:dyDescent="0.35">
      <c r="A195" s="16" t="s">
        <v>41</v>
      </c>
      <c r="B195" s="20">
        <v>0.11007434944237923</v>
      </c>
    </row>
    <row r="196" spans="1:2" x14ac:dyDescent="0.35">
      <c r="A196" s="16" t="s">
        <v>21</v>
      </c>
      <c r="B196" s="20">
        <v>0.10606986899563323</v>
      </c>
    </row>
    <row r="197" spans="1:2" x14ac:dyDescent="0.35">
      <c r="A197" s="16" t="s">
        <v>73</v>
      </c>
      <c r="B197" s="20">
        <v>0.10701886792452839</v>
      </c>
    </row>
    <row r="198" spans="1:2" x14ac:dyDescent="0.35">
      <c r="A198" s="16" t="s">
        <v>2035</v>
      </c>
      <c r="B198" s="20">
        <v>0.10832999999999968</v>
      </c>
    </row>
    <row r="200" spans="1:2" x14ac:dyDescent="0.35">
      <c r="A200" s="15" t="s">
        <v>2034</v>
      </c>
      <c r="B200" t="s">
        <v>2053</v>
      </c>
    </row>
    <row r="201" spans="1:2" x14ac:dyDescent="0.35">
      <c r="A201" s="16" t="s">
        <v>35</v>
      </c>
      <c r="B201" s="20">
        <v>0.10750965250965239</v>
      </c>
    </row>
    <row r="202" spans="1:2" x14ac:dyDescent="0.35">
      <c r="A202" s="16" t="s">
        <v>22</v>
      </c>
      <c r="B202" s="20">
        <v>0.10921161825726146</v>
      </c>
    </row>
    <row r="203" spans="1:2" x14ac:dyDescent="0.35">
      <c r="A203" s="16" t="s">
        <v>2035</v>
      </c>
      <c r="B203" s="20">
        <v>0.10832999999999972</v>
      </c>
    </row>
  </sheetData>
  <pageMargins left="0.7" right="0.7" top="0.75" bottom="0.75" header="0.3" footer="0.3"/>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CFE98-B7AD-443A-8360-5438C528DE4A}">
  <dimension ref="A1:M19"/>
  <sheetViews>
    <sheetView zoomScale="38" zoomScaleNormal="100" workbookViewId="0">
      <selection activeCell="I84" sqref="I84"/>
    </sheetView>
  </sheetViews>
  <sheetFormatPr defaultRowHeight="14.5" x14ac:dyDescent="0.35"/>
  <cols>
    <col min="1" max="1" width="19.36328125" style="19" bestFit="1" customWidth="1"/>
    <col min="2" max="2" width="17.90625" style="19" bestFit="1" customWidth="1"/>
    <col min="3" max="3" width="14" style="19" bestFit="1" customWidth="1"/>
    <col min="4" max="4" width="17.08984375" style="19" bestFit="1" customWidth="1"/>
    <col min="5" max="5" width="5.08984375" style="19" bestFit="1" customWidth="1"/>
    <col min="6" max="6" width="13.6328125" style="19" bestFit="1" customWidth="1"/>
    <col min="7" max="7" width="23.7265625" style="19" bestFit="1" customWidth="1"/>
    <col min="8" max="8" width="26.54296875" style="19" bestFit="1" customWidth="1"/>
    <col min="9" max="9" width="18.90625" style="19" bestFit="1" customWidth="1"/>
    <col min="10" max="10" width="5.08984375" style="19" bestFit="1" customWidth="1"/>
    <col min="11" max="11" width="21.7265625" style="19" bestFit="1" customWidth="1"/>
    <col min="12" max="12" width="10.36328125" style="19" bestFit="1" customWidth="1"/>
    <col min="13" max="13" width="18.90625" style="19" bestFit="1" customWidth="1"/>
    <col min="14" max="14" width="5.08984375" style="19" bestFit="1" customWidth="1"/>
    <col min="15" max="15" width="21.7265625" style="19" bestFit="1" customWidth="1"/>
    <col min="16" max="16" width="10.36328125" style="19" bestFit="1" customWidth="1"/>
    <col min="17" max="16384" width="8.7265625" style="19"/>
  </cols>
  <sheetData>
    <row r="1" spans="6:13" x14ac:dyDescent="0.35">
      <c r="F1" s="21" t="s">
        <v>2033</v>
      </c>
      <c r="G1" s="22"/>
      <c r="H1" s="22"/>
      <c r="I1" s="22"/>
      <c r="J1" s="22"/>
      <c r="K1" s="22"/>
      <c r="L1" s="22"/>
      <c r="M1" s="22"/>
    </row>
    <row r="2" spans="6:13" x14ac:dyDescent="0.35">
      <c r="F2" s="22"/>
      <c r="G2" s="22"/>
      <c r="H2" s="22"/>
      <c r="I2" s="22"/>
      <c r="J2" s="22"/>
      <c r="K2" s="22"/>
      <c r="L2" s="22"/>
      <c r="M2" s="22"/>
    </row>
    <row r="3" spans="6:13" x14ac:dyDescent="0.35">
      <c r="F3" s="22"/>
      <c r="G3" s="22"/>
      <c r="H3" s="22"/>
      <c r="I3" s="22"/>
      <c r="J3" s="22"/>
      <c r="K3" s="22"/>
      <c r="L3" s="22"/>
      <c r="M3" s="22"/>
    </row>
    <row r="4" spans="6:13" x14ac:dyDescent="0.35">
      <c r="F4" s="22"/>
      <c r="G4" s="22"/>
      <c r="H4" s="22"/>
      <c r="I4" s="22"/>
      <c r="J4" s="22"/>
      <c r="K4" s="22"/>
      <c r="L4" s="22"/>
      <c r="M4" s="22"/>
    </row>
    <row r="19" spans="1:1" x14ac:dyDescent="0.35">
      <c r="A19" s="19" t="s">
        <v>2047</v>
      </c>
    </row>
  </sheetData>
  <mergeCells count="1">
    <mergeCell ref="F1:M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Emp_Data</vt:lpstr>
      <vt:lpstr>Pivot_table</vt:lpstr>
      <vt:lpstr>Excel_Dashboard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Aaru Singh</dc:creator>
  <cp:lastModifiedBy>Aaru Singh</cp:lastModifiedBy>
  <dcterms:created xsi:type="dcterms:W3CDTF">2026-01-10T13:11:53Z</dcterms:created>
  <dcterms:modified xsi:type="dcterms:W3CDTF">2026-02-07T16:01:29Z</dcterms:modified>
</cp:coreProperties>
</file>